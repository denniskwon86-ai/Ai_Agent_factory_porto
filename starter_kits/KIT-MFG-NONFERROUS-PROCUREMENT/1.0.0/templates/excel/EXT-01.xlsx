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<sst xmlns="http://schemas.openxmlformats.org/spreadsheetml/2006/main" count="266" uniqueCount="144">
  <si>
    <r>
      <rPr>
        <sz val="10"/>
        <color rgb="FF111827"/>
        <rFont val="Arial"/>
        <family val="0"/>
        <charset val="1"/>
      </rPr>
      <t xml:space="preserve">EXT-01 · </t>
    </r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</si>
  <si>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</si>
  <si>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</si>
  <si>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</si>
  <si>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</si>
  <si>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</si>
  <si>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</si>
  <si>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</si>
  <si>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</si>
  <si>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</si>
  <si>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</si>
  <si>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</si>
  <si>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observation_id</t>
  </si>
  <si>
    <t xml:space="preserve">선행 데이터</t>
  </si>
  <si>
    <t xml:space="preserve">없음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</si>
  <si>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</si>
  <si>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</si>
  <si>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</si>
  <si>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</si>
  <si>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</si>
  <si>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</si>
  <si>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</si>
  <si>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</si>
  <si>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</si>
  <si>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</si>
  <si>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</si>
  <si>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</si>
  <si>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</si>
  <si>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</si>
  <si>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indicator_code</t>
  </si>
  <si>
    <t xml:space="preserve">observed_at</t>
  </si>
  <si>
    <t xml:space="preserve">published_at</t>
  </si>
  <si>
    <t xml:space="preserve">vintage_date</t>
  </si>
  <si>
    <t xml:space="preserve">value</t>
  </si>
  <si>
    <t xml:space="preserve">unit</t>
  </si>
  <si>
    <t xml:space="preserve">source_id</t>
  </si>
  <si>
    <t xml:space="preserve">trust_grade</t>
  </si>
  <si>
    <t xml:space="preserve">ext-01-51bed4ade7a5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</si>
  <si>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</si>
  <si>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</si>
  <si>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</si>
  <si>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</si>
  <si>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</si>
  <si>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</si>
  <si>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</si>
  <si>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lin-c92eaefa491c</t>
  </si>
  <si>
    <t xml:space="preserve">EXT1-USD_KRW-202108</t>
  </si>
  <si>
    <t xml:space="preserve">USD_KRW</t>
  </si>
  <si>
    <t xml:space="preserve">2021-08-31</t>
  </si>
  <si>
    <t xml:space="preserve">2021-09-10</t>
  </si>
  <si>
    <t xml:space="preserve">1294.8038</t>
  </si>
  <si>
    <t xml:space="preserve">KRW/USD</t>
  </si>
  <si>
    <t xml:space="preserve">AFS_SYNTHETIC_REFERENCE</t>
  </si>
  <si>
    <t xml:space="preserve">DEMO_ONLY</t>
  </si>
  <si>
    <t xml:space="preserve">ext-01-eb200a88d483</t>
  </si>
  <si>
    <t xml:space="preserve">lin-6d9aaf63071f</t>
  </si>
  <si>
    <t xml:space="preserve">EXT1-BASE_RATE_KR-202108</t>
  </si>
  <si>
    <t xml:space="preserve">BASE_RATE_KR</t>
  </si>
  <si>
    <t xml:space="preserve">3.25</t>
  </si>
  <si>
    <t xml:space="preserve">%</t>
  </si>
  <si>
    <t xml:space="preserve">ext-01-ddbd057676e4</t>
  </si>
  <si>
    <t xml:space="preserve">lin-3539b09af625</t>
  </si>
  <si>
    <t xml:space="preserve">EXT1-PPI_MFG-202108</t>
  </si>
  <si>
    <t xml:space="preserve">PPI_MFG</t>
  </si>
  <si>
    <t xml:space="preserve">100.0</t>
  </si>
  <si>
    <t xml:space="preserve">INDEX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</si>
  <si>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</si>
  <si>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</si>
  <si>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</si>
  <si>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</si>
  <si>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</si>
  <si>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</si>
  <si>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</si>
  <si>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</si>
  <si>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</si>
  <si>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</si>
  <si>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</si>
  <si>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</si>
  <si>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</si>
  <si>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</si>
  <si>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</si>
  <si>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</si>
  <si>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</si>
  <si>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observation_id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</si>
  <si>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indicator_code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</si>
  <si>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observed_at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</si>
  <si>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published_at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</si>
  <si>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vintage_date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</si>
  <si>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</si>
  <si>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value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</si>
  <si>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unit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</si>
  <si>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source_id</t>
    </r>
  </si>
  <si>
    <r>
      <rPr>
        <sz val="10"/>
        <color rgb="FF111827"/>
        <rFont val="맑은 고딕"/>
        <family val="2"/>
        <charset val="129"/>
      </rPr>
      <t xml:space="preserve">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물가의 </t>
    </r>
    <r>
      <rPr>
        <sz val="10"/>
        <color rgb="FF111827"/>
        <rFont val="Arial"/>
        <family val="0"/>
        <charset val="1"/>
      </rPr>
      <t xml:space="preserve">trust_grade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</si>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</sst>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EXT_01" displayName="T_EXT_01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observation_id"/>
    <tableColumn id="12" name="indicator_code"/>
    <tableColumn id="13" name="observed_at"/>
    <tableColumn id="14" name="published_at"/>
    <tableColumn id="15" name="vintage_date"/>
    <tableColumn id="16" name="value"/>
    <tableColumn id="17" name="unit"/>
    <tableColumn id="18" name="source_id"/>
    <tableColumn id="19" name="trust_gr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5" t="s">
        <v>14</v>
      </c>
      <c r="C9" s="5"/>
      <c r="D9" s="5"/>
      <c r="E9" s="5"/>
      <c r="F9" s="5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23.85"/>
    <col collapsed="false" customWidth="true" hidden="false" outlineLevel="0" max="12" min="12" style="0" width="14.68"/>
    <col collapsed="false" customWidth="true" hidden="false" outlineLevel="0" max="13" min="13" style="0" width="11.92"/>
    <col collapsed="false" customWidth="true" hidden="false" outlineLevel="0" max="15" min="14" style="0" width="12.84"/>
    <col collapsed="false" customWidth="true" hidden="false" outlineLevel="0" max="17" min="16" style="0" width="11.01"/>
    <col collapsed="false" customWidth="true" hidden="false" outlineLevel="0" max="18" min="18" style="0" width="22.93"/>
    <col collapsed="false" customWidth="true" hidden="false" outlineLevel="0" max="19" min="19" style="0" width="11.92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24.0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49</v>
      </c>
      <c r="P2" s="7" t="s">
        <v>50</v>
      </c>
      <c r="Q2" s="7" t="s">
        <v>51</v>
      </c>
      <c r="R2" s="7" t="s">
        <v>52</v>
      </c>
      <c r="S2" s="7" t="s">
        <v>53</v>
      </c>
    </row>
    <row r="3" customFormat="false" ht="24.05" hidden="false" customHeight="false" outlineLevel="0" collapsed="false">
      <c r="A3" s="7" t="s">
        <v>54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55</v>
      </c>
      <c r="K3" s="7" t="s">
        <v>56</v>
      </c>
      <c r="L3" s="7" t="s">
        <v>57</v>
      </c>
      <c r="M3" s="7" t="s">
        <v>48</v>
      </c>
      <c r="N3" s="7" t="s">
        <v>49</v>
      </c>
      <c r="O3" s="7" t="s">
        <v>49</v>
      </c>
      <c r="P3" s="7" t="s">
        <v>58</v>
      </c>
      <c r="Q3" s="7" t="s">
        <v>59</v>
      </c>
      <c r="R3" s="7" t="s">
        <v>52</v>
      </c>
      <c r="S3" s="7" t="s">
        <v>53</v>
      </c>
    </row>
    <row r="4" customFormat="false" ht="24.05" hidden="false" customHeight="false" outlineLevel="0" collapsed="false">
      <c r="A4" s="7" t="s">
        <v>60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61</v>
      </c>
      <c r="K4" s="7" t="s">
        <v>62</v>
      </c>
      <c r="L4" s="7" t="s">
        <v>63</v>
      </c>
      <c r="M4" s="7" t="s">
        <v>48</v>
      </c>
      <c r="N4" s="7" t="s">
        <v>49</v>
      </c>
      <c r="O4" s="7" t="s">
        <v>49</v>
      </c>
      <c r="P4" s="7" t="s">
        <v>64</v>
      </c>
      <c r="Q4" s="7" t="s">
        <v>65</v>
      </c>
      <c r="R4" s="7" t="s">
        <v>52</v>
      </c>
      <c r="S4" s="7" t="s">
        <v>53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11</v>
      </c>
      <c r="E1" s="9" t="s">
        <v>69</v>
      </c>
    </row>
    <row r="2" customFormat="false" ht="15" hidden="false" customHeight="false" outlineLevel="0" collapsed="false">
      <c r="A2" s="10" t="s">
        <v>19</v>
      </c>
      <c r="B2" s="10" t="s">
        <v>70</v>
      </c>
      <c r="C2" s="10" t="s">
        <v>71</v>
      </c>
      <c r="D2" s="10" t="s">
        <v>72</v>
      </c>
      <c r="E2" s="2" t="s">
        <v>73</v>
      </c>
    </row>
    <row r="3" customFormat="false" ht="15" hidden="false" customHeight="false" outlineLevel="0" collapsed="false">
      <c r="A3" s="10" t="s">
        <v>20</v>
      </c>
      <c r="B3" s="10" t="s">
        <v>70</v>
      </c>
      <c r="C3" s="10" t="s">
        <v>71</v>
      </c>
      <c r="D3" s="10" t="s">
        <v>72</v>
      </c>
      <c r="E3" s="2" t="s">
        <v>74</v>
      </c>
    </row>
    <row r="4" customFormat="false" ht="15" hidden="false" customHeight="false" outlineLevel="0" collapsed="false">
      <c r="A4" s="10" t="s">
        <v>21</v>
      </c>
      <c r="B4" s="10" t="s">
        <v>70</v>
      </c>
      <c r="C4" s="10" t="s">
        <v>71</v>
      </c>
      <c r="D4" s="10" t="s">
        <v>72</v>
      </c>
      <c r="E4" s="2" t="s">
        <v>75</v>
      </c>
    </row>
    <row r="5" customFormat="false" ht="15" hidden="false" customHeight="false" outlineLevel="0" collapsed="false">
      <c r="A5" s="10" t="s">
        <v>22</v>
      </c>
      <c r="B5" s="10" t="s">
        <v>70</v>
      </c>
      <c r="C5" s="10" t="s">
        <v>71</v>
      </c>
      <c r="D5" s="10" t="s">
        <v>72</v>
      </c>
      <c r="E5" s="2" t="s">
        <v>76</v>
      </c>
    </row>
    <row r="6" customFormat="false" ht="15" hidden="false" customHeight="false" outlineLevel="0" collapsed="false">
      <c r="A6" s="10" t="s">
        <v>23</v>
      </c>
      <c r="B6" s="10" t="s">
        <v>70</v>
      </c>
      <c r="C6" s="10" t="s">
        <v>71</v>
      </c>
      <c r="D6" s="10" t="s">
        <v>72</v>
      </c>
      <c r="E6" s="2" t="s">
        <v>77</v>
      </c>
    </row>
    <row r="7" customFormat="false" ht="15" hidden="false" customHeight="false" outlineLevel="0" collapsed="false">
      <c r="A7" s="10" t="s">
        <v>24</v>
      </c>
      <c r="B7" s="10" t="s">
        <v>70</v>
      </c>
      <c r="C7" s="10" t="s">
        <v>71</v>
      </c>
      <c r="D7" s="10" t="s">
        <v>72</v>
      </c>
      <c r="E7" s="2" t="s">
        <v>78</v>
      </c>
    </row>
    <row r="8" customFormat="false" ht="15" hidden="false" customHeight="false" outlineLevel="0" collapsed="false">
      <c r="A8" s="10" t="s">
        <v>25</v>
      </c>
      <c r="B8" s="10" t="s">
        <v>70</v>
      </c>
      <c r="C8" s="10" t="s">
        <v>71</v>
      </c>
      <c r="D8" s="10" t="s">
        <v>72</v>
      </c>
      <c r="E8" s="2" t="s">
        <v>79</v>
      </c>
    </row>
    <row r="9" customFormat="false" ht="15" hidden="false" customHeight="false" outlineLevel="0" collapsed="false">
      <c r="A9" s="10" t="s">
        <v>26</v>
      </c>
      <c r="B9" s="10" t="s">
        <v>70</v>
      </c>
      <c r="C9" s="10" t="s">
        <v>71</v>
      </c>
      <c r="D9" s="10" t="s">
        <v>72</v>
      </c>
      <c r="E9" s="2" t="s">
        <v>80</v>
      </c>
    </row>
    <row r="10" customFormat="false" ht="15" hidden="false" customHeight="false" outlineLevel="0" collapsed="false">
      <c r="A10" s="10" t="s">
        <v>27</v>
      </c>
      <c r="B10" s="10" t="s">
        <v>70</v>
      </c>
      <c r="C10" s="10" t="s">
        <v>71</v>
      </c>
      <c r="D10" s="10" t="s">
        <v>72</v>
      </c>
      <c r="E10" s="2" t="s">
        <v>81</v>
      </c>
    </row>
    <row r="11" customFormat="false" ht="15" hidden="false" customHeight="false" outlineLevel="0" collapsed="false">
      <c r="A11" s="10" t="s">
        <v>28</v>
      </c>
      <c r="B11" s="10" t="s">
        <v>70</v>
      </c>
      <c r="C11" s="10" t="s">
        <v>71</v>
      </c>
      <c r="D11" s="10" t="s">
        <v>72</v>
      </c>
      <c r="E11" s="2" t="s">
        <v>82</v>
      </c>
    </row>
    <row r="12" customFormat="false" ht="15" hidden="false" customHeight="false" outlineLevel="0" collapsed="false">
      <c r="A12" s="10" t="s">
        <v>12</v>
      </c>
      <c r="B12" s="10" t="s">
        <v>70</v>
      </c>
      <c r="C12" s="10" t="s">
        <v>71</v>
      </c>
      <c r="D12" s="10" t="s">
        <v>71</v>
      </c>
      <c r="E12" s="2" t="s">
        <v>83</v>
      </c>
    </row>
    <row r="13" customFormat="false" ht="15" hidden="false" customHeight="false" outlineLevel="0" collapsed="false">
      <c r="A13" s="10" t="s">
        <v>29</v>
      </c>
      <c r="B13" s="10" t="s">
        <v>70</v>
      </c>
      <c r="C13" s="10" t="s">
        <v>72</v>
      </c>
      <c r="D13" s="10" t="s">
        <v>72</v>
      </c>
      <c r="E13" s="2" t="s">
        <v>84</v>
      </c>
    </row>
    <row r="14" customFormat="false" ht="15" hidden="false" customHeight="false" outlineLevel="0" collapsed="false">
      <c r="A14" s="10" t="s">
        <v>30</v>
      </c>
      <c r="B14" s="10" t="s">
        <v>70</v>
      </c>
      <c r="C14" s="10" t="s">
        <v>72</v>
      </c>
      <c r="D14" s="10" t="s">
        <v>72</v>
      </c>
      <c r="E14" s="2" t="s">
        <v>85</v>
      </c>
    </row>
    <row r="15" customFormat="false" ht="15" hidden="false" customHeight="false" outlineLevel="0" collapsed="false">
      <c r="A15" s="10" t="s">
        <v>31</v>
      </c>
      <c r="B15" s="10" t="s">
        <v>70</v>
      </c>
      <c r="C15" s="10" t="s">
        <v>72</v>
      </c>
      <c r="D15" s="10" t="s">
        <v>72</v>
      </c>
      <c r="E15" s="2" t="s">
        <v>86</v>
      </c>
    </row>
    <row r="16" customFormat="false" ht="15" hidden="false" customHeight="false" outlineLevel="0" collapsed="false">
      <c r="A16" s="10" t="s">
        <v>32</v>
      </c>
      <c r="B16" s="10" t="s">
        <v>70</v>
      </c>
      <c r="C16" s="10" t="s">
        <v>72</v>
      </c>
      <c r="D16" s="10" t="s">
        <v>72</v>
      </c>
      <c r="E16" s="2" t="s">
        <v>87</v>
      </c>
    </row>
    <row r="17" customFormat="false" ht="15" hidden="false" customHeight="false" outlineLevel="0" collapsed="false">
      <c r="A17" s="10" t="s">
        <v>33</v>
      </c>
      <c r="B17" s="10" t="s">
        <v>88</v>
      </c>
      <c r="C17" s="10" t="s">
        <v>72</v>
      </c>
      <c r="D17" s="10" t="s">
        <v>72</v>
      </c>
      <c r="E17" s="2" t="s">
        <v>89</v>
      </c>
    </row>
    <row r="18" customFormat="false" ht="15" hidden="false" customHeight="false" outlineLevel="0" collapsed="false">
      <c r="A18" s="10" t="s">
        <v>34</v>
      </c>
      <c r="B18" s="10" t="s">
        <v>70</v>
      </c>
      <c r="C18" s="10" t="s">
        <v>72</v>
      </c>
      <c r="D18" s="10" t="s">
        <v>72</v>
      </c>
      <c r="E18" s="2" t="s">
        <v>90</v>
      </c>
    </row>
    <row r="19" customFormat="false" ht="15" hidden="false" customHeight="false" outlineLevel="0" collapsed="false">
      <c r="A19" s="10" t="s">
        <v>35</v>
      </c>
      <c r="B19" s="10" t="s">
        <v>70</v>
      </c>
      <c r="C19" s="10" t="s">
        <v>72</v>
      </c>
      <c r="D19" s="10" t="s">
        <v>72</v>
      </c>
      <c r="E19" s="2" t="s">
        <v>91</v>
      </c>
    </row>
    <row r="20" customFormat="false" ht="15" hidden="false" customHeight="false" outlineLevel="0" collapsed="false">
      <c r="A20" s="10" t="s">
        <v>36</v>
      </c>
      <c r="B20" s="10" t="s">
        <v>70</v>
      </c>
      <c r="C20" s="10" t="s">
        <v>72</v>
      </c>
      <c r="D20" s="10" t="s">
        <v>72</v>
      </c>
      <c r="E20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93</v>
      </c>
      <c r="B1" s="9" t="s">
        <v>94</v>
      </c>
      <c r="C1" s="9" t="s">
        <v>95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96</v>
      </c>
    </row>
    <row r="3" customFormat="false" ht="15" hidden="false" customHeight="false" outlineLevel="0" collapsed="false">
      <c r="A3" s="10" t="s">
        <v>23</v>
      </c>
      <c r="B3" s="10" t="s">
        <v>97</v>
      </c>
      <c r="C3" s="2" t="s">
        <v>98</v>
      </c>
    </row>
    <row r="4" customFormat="false" ht="15" hidden="false" customHeight="false" outlineLevel="0" collapsed="false">
      <c r="A4" s="10" t="s">
        <v>23</v>
      </c>
      <c r="B4" s="10" t="s">
        <v>99</v>
      </c>
      <c r="C4" s="2" t="s">
        <v>100</v>
      </c>
    </row>
    <row r="5" customFormat="false" ht="15" hidden="false" customHeight="false" outlineLevel="0" collapsed="false">
      <c r="A5" s="10" t="s">
        <v>23</v>
      </c>
      <c r="B5" s="10" t="s">
        <v>101</v>
      </c>
      <c r="C5" s="2" t="s">
        <v>102</v>
      </c>
    </row>
    <row r="6" customFormat="false" ht="15" hidden="false" customHeight="false" outlineLevel="0" collapsed="false">
      <c r="A6" s="10" t="s">
        <v>23</v>
      </c>
      <c r="B6" s="10" t="s">
        <v>103</v>
      </c>
      <c r="C6" s="10" t="s">
        <v>104</v>
      </c>
    </row>
    <row r="7" customFormat="false" ht="15" hidden="false" customHeight="false" outlineLevel="0" collapsed="false">
      <c r="A7" s="10" t="s">
        <v>23</v>
      </c>
      <c r="B7" s="10" t="s">
        <v>41</v>
      </c>
      <c r="C7" s="2" t="s">
        <v>105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106</v>
      </c>
    </row>
    <row r="9" customFormat="false" ht="15" hidden="false" customHeight="false" outlineLevel="0" collapsed="false">
      <c r="A9" s="10" t="s">
        <v>25</v>
      </c>
      <c r="B9" s="10" t="s">
        <v>107</v>
      </c>
      <c r="C9" s="2" t="s">
        <v>108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110</v>
      </c>
      <c r="B1" s="9" t="s">
        <v>111</v>
      </c>
      <c r="C1" s="9" t="s">
        <v>112</v>
      </c>
      <c r="D1" s="9" t="s">
        <v>113</v>
      </c>
    </row>
    <row r="2" customFormat="false" ht="15" hidden="false" customHeight="false" outlineLevel="0" collapsed="false">
      <c r="A2" s="10" t="s">
        <v>114</v>
      </c>
      <c r="B2" s="2" t="s">
        <v>115</v>
      </c>
      <c r="C2" s="10" t="s">
        <v>116</v>
      </c>
      <c r="D2" s="2" t="s">
        <v>117</v>
      </c>
    </row>
    <row r="3" customFormat="false" ht="15" hidden="false" customHeight="false" outlineLevel="0" collapsed="false">
      <c r="A3" s="10" t="s">
        <v>118</v>
      </c>
      <c r="B3" s="10" t="s">
        <v>119</v>
      </c>
      <c r="C3" s="10" t="s">
        <v>116</v>
      </c>
      <c r="D3" s="10" t="s">
        <v>120</v>
      </c>
    </row>
    <row r="4" customFormat="false" ht="15" hidden="false" customHeight="false" outlineLevel="0" collapsed="false">
      <c r="A4" s="10" t="s">
        <v>121</v>
      </c>
      <c r="B4" s="2" t="s">
        <v>122</v>
      </c>
      <c r="C4" s="10" t="s">
        <v>107</v>
      </c>
      <c r="D4" s="10" t="s">
        <v>12</v>
      </c>
    </row>
    <row r="5" customFormat="false" ht="15" hidden="false" customHeight="false" outlineLevel="0" collapsed="false">
      <c r="A5" s="10" t="s">
        <v>123</v>
      </c>
      <c r="B5" s="2" t="s">
        <v>124</v>
      </c>
      <c r="C5" s="10" t="s">
        <v>107</v>
      </c>
      <c r="D5" s="2" t="s">
        <v>14</v>
      </c>
    </row>
    <row r="6" customFormat="false" ht="15" hidden="false" customHeight="false" outlineLevel="0" collapsed="false">
      <c r="A6" s="10" t="s">
        <v>125</v>
      </c>
      <c r="B6" s="10" t="s">
        <v>126</v>
      </c>
      <c r="C6" s="10" t="s">
        <v>116</v>
      </c>
      <c r="D6" s="2" t="s">
        <v>127</v>
      </c>
    </row>
    <row r="7" customFormat="false" ht="15" hidden="false" customHeight="false" outlineLevel="0" collapsed="false">
      <c r="A7" s="10" t="s">
        <v>128</v>
      </c>
      <c r="B7" s="2" t="s">
        <v>129</v>
      </c>
      <c r="C7" s="10" t="s">
        <v>107</v>
      </c>
      <c r="D7" s="1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131</v>
      </c>
      <c r="B1" s="9" t="s">
        <v>132</v>
      </c>
      <c r="C1" s="9" t="s">
        <v>133</v>
      </c>
    </row>
    <row r="2" customFormat="false" ht="15" hidden="false" customHeight="false" outlineLevel="0" collapsed="false">
      <c r="A2" s="2" t="s">
        <v>134</v>
      </c>
      <c r="B2" s="11" t="n">
        <f aca="false">COUNTA(DATA!A:A)-1</f>
        <v>3</v>
      </c>
      <c r="C2" s="10" t="s">
        <v>135</v>
      </c>
    </row>
    <row r="3" customFormat="false" ht="15" hidden="false" customHeight="false" outlineLevel="0" collapsed="false">
      <c r="A3" s="10" t="s">
        <v>136</v>
      </c>
      <c r="B3" s="11" t="n">
        <f aca="false">COUNTIF(DATA!D:D,"SYNTHETIC")</f>
        <v>3</v>
      </c>
      <c r="C3" s="2" t="s">
        <v>137</v>
      </c>
    </row>
    <row r="4" customFormat="false" ht="15" hidden="false" customHeight="false" outlineLevel="0" collapsed="false">
      <c r="A4" s="2" t="s">
        <v>138</v>
      </c>
      <c r="B4" s="11" t="str">
        <f aca="false">IF(B2=B3,"PASS","REVIEW")</f>
        <v>PASS</v>
      </c>
      <c r="C4" s="10" t="s">
        <v>139</v>
      </c>
    </row>
    <row r="5" customFormat="false" ht="15" hidden="false" customHeight="false" outlineLevel="0" collapsed="false">
      <c r="A5" s="2" t="s">
        <v>140</v>
      </c>
      <c r="B5" s="11" t="n">
        <f aca="false">COUNTBLANK(DATA!C2:INDEX(DATA!C:C,B2+1))</f>
        <v>0</v>
      </c>
      <c r="C5" s="10" t="s">
        <v>141</v>
      </c>
    </row>
    <row r="6" customFormat="false" ht="15" hidden="false" customHeight="false" outlineLevel="0" collapsed="false">
      <c r="A6" s="2" t="s">
        <v>142</v>
      </c>
      <c r="B6" s="11" t="str">
        <f aca="false">IF(AND(B4="PASS",B5=0),"PASS","REVIEW")</f>
        <v>PASS</v>
      </c>
      <c r="C6" s="10" t="s">
        <v>143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