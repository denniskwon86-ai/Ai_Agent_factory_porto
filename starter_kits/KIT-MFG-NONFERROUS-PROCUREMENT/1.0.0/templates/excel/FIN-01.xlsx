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<sst xmlns="http://schemas.openxmlformats.org/spreadsheetml/2006/main" count="266" uniqueCount="147">
  <si>
    <r>
      <rPr>
        <sz val="10"/>
        <color rgb="FF111827"/>
        <rFont val="Arial"/>
        <family val="0"/>
        <charset val="1"/>
      </rPr>
      <t xml:space="preserve">FIN-01 · </t>
    </r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</si>
  <si>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</si>
  <si>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</si>
  <si>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</si>
  <si>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</si>
  <si>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</si>
  <si>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</si>
  <si>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</si>
  <si>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</si>
  <si>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</si>
  <si>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</si>
  <si>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</si>
  <si>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cost_record_id</t>
  </si>
  <si>
    <t xml:space="preserve">선행 데이터</t>
  </si>
  <si>
    <t xml:space="preserve">PRC-01, MFG-02, LOG-02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</si>
  <si>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</si>
  <si>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</si>
  <si>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</si>
  <si>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</si>
  <si>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</si>
  <si>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</si>
  <si>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</si>
  <si>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</si>
  <si>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</si>
  <si>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</si>
  <si>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</si>
  <si>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</si>
  <si>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</si>
  <si>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</si>
  <si>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fiscal_period</t>
  </si>
  <si>
    <t xml:space="preserve">product_id</t>
  </si>
  <si>
    <t xml:space="preserve">cost_component</t>
  </si>
  <si>
    <t xml:space="preserve">standard_unit_cost</t>
  </si>
  <si>
    <t xml:space="preserve">actual_unit_cost</t>
  </si>
  <si>
    <t xml:space="preserve">variance_amount</t>
  </si>
  <si>
    <t xml:space="preserve">currency</t>
  </si>
  <si>
    <t xml:space="preserve">quantity_uom</t>
  </si>
  <si>
    <t xml:space="preserve">fin-01-eacc97fa04bf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</si>
  <si>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</si>
  <si>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</si>
  <si>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</si>
  <si>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</si>
  <si>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</si>
  <si>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</si>
  <si>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</si>
  <si>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lin-119ebc319393</t>
  </si>
  <si>
    <t xml:space="preserve">COST-202602-FG-CATHODE-MATERIAL</t>
  </si>
  <si>
    <t xml:space="preserve">2026-02</t>
  </si>
  <si>
    <t xml:space="preserve">FG-CATHODE</t>
  </si>
  <si>
    <t xml:space="preserve">MATERIAL</t>
  </si>
  <si>
    <t xml:space="preserve">5184.0</t>
  </si>
  <si>
    <t xml:space="preserve">5268.97</t>
  </si>
  <si>
    <t xml:space="preserve">84.97</t>
  </si>
  <si>
    <t xml:space="preserve">USD</t>
  </si>
  <si>
    <t xml:space="preserve">TON</t>
  </si>
  <si>
    <t xml:space="preserve">fin-01-b20dff3366cd</t>
  </si>
  <si>
    <t xml:space="preserve">lin-a98a19c9ac13</t>
  </si>
  <si>
    <t xml:space="preserve">COST-202602-FG-CATHODE-CONVERSION</t>
  </si>
  <si>
    <t xml:space="preserve">CONVERSION</t>
  </si>
  <si>
    <t xml:space="preserve">1152.0</t>
  </si>
  <si>
    <t xml:space="preserve">1118.28</t>
  </si>
  <si>
    <t xml:space="preserve">-33.72</t>
  </si>
  <si>
    <t xml:space="preserve">fin-01-3227d976134b</t>
  </si>
  <si>
    <t xml:space="preserve">lin-6e29765f33e0</t>
  </si>
  <si>
    <t xml:space="preserve">COST-202602-FG-CATHODE-LOGISTICS</t>
  </si>
  <si>
    <t xml:space="preserve">LOGISTICS</t>
  </si>
  <si>
    <t xml:space="preserve">504.0</t>
  </si>
  <si>
    <t xml:space="preserve">503.48</t>
  </si>
  <si>
    <t xml:space="preserve">-0.52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</si>
  <si>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</si>
  <si>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</si>
  <si>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</si>
  <si>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</si>
  <si>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</si>
  <si>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</si>
  <si>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</si>
  <si>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</si>
  <si>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</si>
  <si>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</si>
  <si>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</si>
  <si>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</si>
  <si>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</si>
  <si>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</si>
  <si>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</si>
  <si>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</si>
  <si>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</si>
  <si>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cost_record_id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</si>
  <si>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fiscal_period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</si>
  <si>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product_id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</si>
  <si>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cost_component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</si>
  <si>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</si>
  <si>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standard_unit_cost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</si>
  <si>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actual_unit_cost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</si>
  <si>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variance_amount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</si>
  <si>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</si>
  <si>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표준원가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실제원가의 </t>
    </r>
    <r>
      <rPr>
        <sz val="10"/>
        <color rgb="FF111827"/>
        <rFont val="Arial"/>
        <family val="0"/>
        <charset val="1"/>
      </rPr>
      <t xml:space="preserve">quantity_uom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</si>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</sst>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FIN_01" displayName="T_FIN_01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cost_record_id"/>
    <tableColumn id="12" name="fiscal_period"/>
    <tableColumn id="13" name="product_id"/>
    <tableColumn id="14" name="cost_component"/>
    <tableColumn id="15" name="standard_unit_cost"/>
    <tableColumn id="16" name="actual_unit_cost"/>
    <tableColumn id="17" name="variance_amount"/>
    <tableColumn id="18" name="currency"/>
    <tableColumn id="19" name="quantity_uo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32.11"/>
    <col collapsed="false" customWidth="true" hidden="false" outlineLevel="0" max="12" min="12" style="0" width="13.76"/>
    <col collapsed="false" customWidth="true" hidden="false" outlineLevel="0" max="13" min="13" style="0" width="11.01"/>
    <col collapsed="false" customWidth="true" hidden="false" outlineLevel="0" max="14" min="14" style="0" width="14.68"/>
    <col collapsed="false" customWidth="true" hidden="false" outlineLevel="0" max="15" min="15" style="0" width="18.35"/>
    <col collapsed="false" customWidth="true" hidden="false" outlineLevel="0" max="16" min="16" style="0" width="16.51"/>
    <col collapsed="false" customWidth="true" hidden="false" outlineLevel="0" max="17" min="17" style="0" width="15.59"/>
    <col collapsed="false" customWidth="true" hidden="false" outlineLevel="0" max="18" min="18" style="0" width="11.01"/>
    <col collapsed="false" customWidth="true" hidden="false" outlineLevel="0" max="19" min="19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24.0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53</v>
      </c>
      <c r="S2" s="7" t="s">
        <v>54</v>
      </c>
    </row>
    <row r="3" customFormat="false" ht="24.05" hidden="false" customHeight="false" outlineLevel="0" collapsed="false">
      <c r="A3" s="7" t="s">
        <v>55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56</v>
      </c>
      <c r="K3" s="7" t="s">
        <v>57</v>
      </c>
      <c r="L3" s="7" t="s">
        <v>47</v>
      </c>
      <c r="M3" s="7" t="s">
        <v>48</v>
      </c>
      <c r="N3" s="7" t="s">
        <v>58</v>
      </c>
      <c r="O3" s="7" t="s">
        <v>59</v>
      </c>
      <c r="P3" s="7" t="s">
        <v>60</v>
      </c>
      <c r="Q3" s="7" t="s">
        <v>61</v>
      </c>
      <c r="R3" s="7" t="s">
        <v>53</v>
      </c>
      <c r="S3" s="7" t="s">
        <v>54</v>
      </c>
    </row>
    <row r="4" customFormat="false" ht="24.05" hidden="false" customHeight="false" outlineLevel="0" collapsed="false">
      <c r="A4" s="7" t="s">
        <v>62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63</v>
      </c>
      <c r="K4" s="7" t="s">
        <v>64</v>
      </c>
      <c r="L4" s="7" t="s">
        <v>47</v>
      </c>
      <c r="M4" s="7" t="s">
        <v>48</v>
      </c>
      <c r="N4" s="7" t="s">
        <v>65</v>
      </c>
      <c r="O4" s="7" t="s">
        <v>66</v>
      </c>
      <c r="P4" s="7" t="s">
        <v>67</v>
      </c>
      <c r="Q4" s="7" t="s">
        <v>68</v>
      </c>
      <c r="R4" s="7" t="s">
        <v>53</v>
      </c>
      <c r="S4" s="7" t="s">
        <v>54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69</v>
      </c>
      <c r="B1" s="9" t="s">
        <v>70</v>
      </c>
      <c r="C1" s="9" t="s">
        <v>71</v>
      </c>
      <c r="D1" s="9" t="s">
        <v>11</v>
      </c>
      <c r="E1" s="9" t="s">
        <v>72</v>
      </c>
    </row>
    <row r="2" customFormat="false" ht="15" hidden="false" customHeight="false" outlineLevel="0" collapsed="false">
      <c r="A2" s="10" t="s">
        <v>19</v>
      </c>
      <c r="B2" s="10" t="s">
        <v>73</v>
      </c>
      <c r="C2" s="10" t="s">
        <v>74</v>
      </c>
      <c r="D2" s="10" t="s">
        <v>75</v>
      </c>
      <c r="E2" s="2" t="s">
        <v>76</v>
      </c>
    </row>
    <row r="3" customFormat="false" ht="15" hidden="false" customHeight="false" outlineLevel="0" collapsed="false">
      <c r="A3" s="10" t="s">
        <v>20</v>
      </c>
      <c r="B3" s="10" t="s">
        <v>73</v>
      </c>
      <c r="C3" s="10" t="s">
        <v>74</v>
      </c>
      <c r="D3" s="10" t="s">
        <v>75</v>
      </c>
      <c r="E3" s="2" t="s">
        <v>77</v>
      </c>
    </row>
    <row r="4" customFormat="false" ht="15" hidden="false" customHeight="false" outlineLevel="0" collapsed="false">
      <c r="A4" s="10" t="s">
        <v>21</v>
      </c>
      <c r="B4" s="10" t="s">
        <v>73</v>
      </c>
      <c r="C4" s="10" t="s">
        <v>74</v>
      </c>
      <c r="D4" s="10" t="s">
        <v>75</v>
      </c>
      <c r="E4" s="2" t="s">
        <v>78</v>
      </c>
    </row>
    <row r="5" customFormat="false" ht="15" hidden="false" customHeight="false" outlineLevel="0" collapsed="false">
      <c r="A5" s="10" t="s">
        <v>22</v>
      </c>
      <c r="B5" s="10" t="s">
        <v>73</v>
      </c>
      <c r="C5" s="10" t="s">
        <v>74</v>
      </c>
      <c r="D5" s="10" t="s">
        <v>75</v>
      </c>
      <c r="E5" s="2" t="s">
        <v>79</v>
      </c>
    </row>
    <row r="6" customFormat="false" ht="15" hidden="false" customHeight="false" outlineLevel="0" collapsed="false">
      <c r="A6" s="10" t="s">
        <v>23</v>
      </c>
      <c r="B6" s="10" t="s">
        <v>73</v>
      </c>
      <c r="C6" s="10" t="s">
        <v>74</v>
      </c>
      <c r="D6" s="10" t="s">
        <v>75</v>
      </c>
      <c r="E6" s="2" t="s">
        <v>80</v>
      </c>
    </row>
    <row r="7" customFormat="false" ht="15" hidden="false" customHeight="false" outlineLevel="0" collapsed="false">
      <c r="A7" s="10" t="s">
        <v>24</v>
      </c>
      <c r="B7" s="10" t="s">
        <v>73</v>
      </c>
      <c r="C7" s="10" t="s">
        <v>74</v>
      </c>
      <c r="D7" s="10" t="s">
        <v>75</v>
      </c>
      <c r="E7" s="2" t="s">
        <v>81</v>
      </c>
    </row>
    <row r="8" customFormat="false" ht="15" hidden="false" customHeight="false" outlineLevel="0" collapsed="false">
      <c r="A8" s="10" t="s">
        <v>25</v>
      </c>
      <c r="B8" s="10" t="s">
        <v>73</v>
      </c>
      <c r="C8" s="10" t="s">
        <v>74</v>
      </c>
      <c r="D8" s="10" t="s">
        <v>75</v>
      </c>
      <c r="E8" s="2" t="s">
        <v>82</v>
      </c>
    </row>
    <row r="9" customFormat="false" ht="15" hidden="false" customHeight="false" outlineLevel="0" collapsed="false">
      <c r="A9" s="10" t="s">
        <v>26</v>
      </c>
      <c r="B9" s="10" t="s">
        <v>73</v>
      </c>
      <c r="C9" s="10" t="s">
        <v>74</v>
      </c>
      <c r="D9" s="10" t="s">
        <v>75</v>
      </c>
      <c r="E9" s="2" t="s">
        <v>83</v>
      </c>
    </row>
    <row r="10" customFormat="false" ht="15" hidden="false" customHeight="false" outlineLevel="0" collapsed="false">
      <c r="A10" s="10" t="s">
        <v>27</v>
      </c>
      <c r="B10" s="10" t="s">
        <v>73</v>
      </c>
      <c r="C10" s="10" t="s">
        <v>74</v>
      </c>
      <c r="D10" s="10" t="s">
        <v>75</v>
      </c>
      <c r="E10" s="2" t="s">
        <v>84</v>
      </c>
    </row>
    <row r="11" customFormat="false" ht="15" hidden="false" customHeight="false" outlineLevel="0" collapsed="false">
      <c r="A11" s="10" t="s">
        <v>28</v>
      </c>
      <c r="B11" s="10" t="s">
        <v>73</v>
      </c>
      <c r="C11" s="10" t="s">
        <v>74</v>
      </c>
      <c r="D11" s="10" t="s">
        <v>75</v>
      </c>
      <c r="E11" s="2" t="s">
        <v>85</v>
      </c>
    </row>
    <row r="12" customFormat="false" ht="15" hidden="false" customHeight="false" outlineLevel="0" collapsed="false">
      <c r="A12" s="10" t="s">
        <v>12</v>
      </c>
      <c r="B12" s="10" t="s">
        <v>73</v>
      </c>
      <c r="C12" s="10" t="s">
        <v>74</v>
      </c>
      <c r="D12" s="10" t="s">
        <v>74</v>
      </c>
      <c r="E12" s="2" t="s">
        <v>86</v>
      </c>
    </row>
    <row r="13" customFormat="false" ht="15" hidden="false" customHeight="false" outlineLevel="0" collapsed="false">
      <c r="A13" s="10" t="s">
        <v>29</v>
      </c>
      <c r="B13" s="10" t="s">
        <v>73</v>
      </c>
      <c r="C13" s="10" t="s">
        <v>75</v>
      </c>
      <c r="D13" s="10" t="s">
        <v>75</v>
      </c>
      <c r="E13" s="2" t="s">
        <v>87</v>
      </c>
    </row>
    <row r="14" customFormat="false" ht="15" hidden="false" customHeight="false" outlineLevel="0" collapsed="false">
      <c r="A14" s="10" t="s">
        <v>30</v>
      </c>
      <c r="B14" s="10" t="s">
        <v>73</v>
      </c>
      <c r="C14" s="10" t="s">
        <v>75</v>
      </c>
      <c r="D14" s="10" t="s">
        <v>75</v>
      </c>
      <c r="E14" s="2" t="s">
        <v>88</v>
      </c>
    </row>
    <row r="15" customFormat="false" ht="15" hidden="false" customHeight="false" outlineLevel="0" collapsed="false">
      <c r="A15" s="10" t="s">
        <v>31</v>
      </c>
      <c r="B15" s="10" t="s">
        <v>73</v>
      </c>
      <c r="C15" s="10" t="s">
        <v>75</v>
      </c>
      <c r="D15" s="10" t="s">
        <v>75</v>
      </c>
      <c r="E15" s="2" t="s">
        <v>89</v>
      </c>
    </row>
    <row r="16" customFormat="false" ht="15" hidden="false" customHeight="false" outlineLevel="0" collapsed="false">
      <c r="A16" s="10" t="s">
        <v>32</v>
      </c>
      <c r="B16" s="10" t="s">
        <v>90</v>
      </c>
      <c r="C16" s="10" t="s">
        <v>75</v>
      </c>
      <c r="D16" s="10" t="s">
        <v>75</v>
      </c>
      <c r="E16" s="2" t="s">
        <v>91</v>
      </c>
    </row>
    <row r="17" customFormat="false" ht="15" hidden="false" customHeight="false" outlineLevel="0" collapsed="false">
      <c r="A17" s="10" t="s">
        <v>33</v>
      </c>
      <c r="B17" s="10" t="s">
        <v>90</v>
      </c>
      <c r="C17" s="10" t="s">
        <v>75</v>
      </c>
      <c r="D17" s="10" t="s">
        <v>75</v>
      </c>
      <c r="E17" s="2" t="s">
        <v>92</v>
      </c>
    </row>
    <row r="18" customFormat="false" ht="15" hidden="false" customHeight="false" outlineLevel="0" collapsed="false">
      <c r="A18" s="10" t="s">
        <v>34</v>
      </c>
      <c r="B18" s="10" t="s">
        <v>90</v>
      </c>
      <c r="C18" s="10" t="s">
        <v>75</v>
      </c>
      <c r="D18" s="10" t="s">
        <v>75</v>
      </c>
      <c r="E18" s="2" t="s">
        <v>93</v>
      </c>
    </row>
    <row r="19" customFormat="false" ht="15" hidden="false" customHeight="false" outlineLevel="0" collapsed="false">
      <c r="A19" s="10" t="s">
        <v>35</v>
      </c>
      <c r="B19" s="10" t="s">
        <v>73</v>
      </c>
      <c r="C19" s="10" t="s">
        <v>75</v>
      </c>
      <c r="D19" s="10" t="s">
        <v>75</v>
      </c>
      <c r="E19" s="2" t="s">
        <v>94</v>
      </c>
    </row>
    <row r="20" customFormat="false" ht="15" hidden="false" customHeight="false" outlineLevel="0" collapsed="false">
      <c r="A20" s="10" t="s">
        <v>36</v>
      </c>
      <c r="B20" s="10" t="s">
        <v>73</v>
      </c>
      <c r="C20" s="10" t="s">
        <v>75</v>
      </c>
      <c r="D20" s="10" t="s">
        <v>75</v>
      </c>
      <c r="E20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96</v>
      </c>
      <c r="B1" s="9" t="s">
        <v>97</v>
      </c>
      <c r="C1" s="9" t="s">
        <v>98</v>
      </c>
    </row>
    <row r="2" customFormat="false" ht="15" hidden="false" customHeight="false" outlineLevel="0" collapsed="false">
      <c r="A2" s="10" t="s">
        <v>22</v>
      </c>
      <c r="B2" s="10" t="s">
        <v>40</v>
      </c>
      <c r="C2" s="2" t="s">
        <v>99</v>
      </c>
    </row>
    <row r="3" customFormat="false" ht="15" hidden="false" customHeight="false" outlineLevel="0" collapsed="false">
      <c r="A3" s="10" t="s">
        <v>23</v>
      </c>
      <c r="B3" s="10" t="s">
        <v>41</v>
      </c>
      <c r="C3" s="2" t="s">
        <v>100</v>
      </c>
    </row>
    <row r="4" customFormat="false" ht="15" hidden="false" customHeight="false" outlineLevel="0" collapsed="false">
      <c r="A4" s="10" t="s">
        <v>23</v>
      </c>
      <c r="B4" s="10" t="s">
        <v>101</v>
      </c>
      <c r="C4" s="2" t="s">
        <v>102</v>
      </c>
    </row>
    <row r="5" customFormat="false" ht="15" hidden="false" customHeight="false" outlineLevel="0" collapsed="false">
      <c r="A5" s="10" t="s">
        <v>23</v>
      </c>
      <c r="B5" s="10" t="s">
        <v>103</v>
      </c>
      <c r="C5" s="2" t="s">
        <v>104</v>
      </c>
    </row>
    <row r="6" customFormat="false" ht="15" hidden="false" customHeight="false" outlineLevel="0" collapsed="false">
      <c r="A6" s="10" t="s">
        <v>23</v>
      </c>
      <c r="B6" s="10" t="s">
        <v>105</v>
      </c>
      <c r="C6" s="10" t="s">
        <v>106</v>
      </c>
    </row>
    <row r="7" customFormat="false" ht="15" hidden="false" customHeight="false" outlineLevel="0" collapsed="false">
      <c r="A7" s="10" t="s">
        <v>23</v>
      </c>
      <c r="B7" s="10" t="s">
        <v>107</v>
      </c>
      <c r="C7" s="2" t="s">
        <v>108</v>
      </c>
    </row>
    <row r="8" customFormat="false" ht="15" hidden="false" customHeight="false" outlineLevel="0" collapsed="false">
      <c r="A8" s="10" t="s">
        <v>25</v>
      </c>
      <c r="B8" s="10" t="s">
        <v>42</v>
      </c>
      <c r="C8" s="2" t="s">
        <v>109</v>
      </c>
    </row>
    <row r="9" customFormat="false" ht="15" hidden="false" customHeight="false" outlineLevel="0" collapsed="false">
      <c r="A9" s="10" t="s">
        <v>25</v>
      </c>
      <c r="B9" s="10" t="s">
        <v>110</v>
      </c>
      <c r="C9" s="2" t="s">
        <v>111</v>
      </c>
    </row>
    <row r="10" customFormat="false" ht="15" hidden="false" customHeight="false" outlineLevel="0" collapsed="false">
      <c r="A10" s="10" t="s">
        <v>26</v>
      </c>
      <c r="B10" s="10" t="s">
        <v>43</v>
      </c>
      <c r="C10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113</v>
      </c>
      <c r="B1" s="9" t="s">
        <v>114</v>
      </c>
      <c r="C1" s="9" t="s">
        <v>115</v>
      </c>
      <c r="D1" s="9" t="s">
        <v>116</v>
      </c>
    </row>
    <row r="2" customFormat="false" ht="15" hidden="false" customHeight="false" outlineLevel="0" collapsed="false">
      <c r="A2" s="10" t="s">
        <v>117</v>
      </c>
      <c r="B2" s="2" t="s">
        <v>118</v>
      </c>
      <c r="C2" s="10" t="s">
        <v>119</v>
      </c>
      <c r="D2" s="2" t="s">
        <v>120</v>
      </c>
    </row>
    <row r="3" customFormat="false" ht="15" hidden="false" customHeight="false" outlineLevel="0" collapsed="false">
      <c r="A3" s="10" t="s">
        <v>121</v>
      </c>
      <c r="B3" s="10" t="s">
        <v>122</v>
      </c>
      <c r="C3" s="10" t="s">
        <v>119</v>
      </c>
      <c r="D3" s="10" t="s">
        <v>123</v>
      </c>
    </row>
    <row r="4" customFormat="false" ht="15" hidden="false" customHeight="false" outlineLevel="0" collapsed="false">
      <c r="A4" s="10" t="s">
        <v>124</v>
      </c>
      <c r="B4" s="2" t="s">
        <v>125</v>
      </c>
      <c r="C4" s="10" t="s">
        <v>110</v>
      </c>
      <c r="D4" s="10" t="s">
        <v>12</v>
      </c>
    </row>
    <row r="5" customFormat="false" ht="15" hidden="false" customHeight="false" outlineLevel="0" collapsed="false">
      <c r="A5" s="10" t="s">
        <v>126</v>
      </c>
      <c r="B5" s="2" t="s">
        <v>127</v>
      </c>
      <c r="C5" s="10" t="s">
        <v>110</v>
      </c>
      <c r="D5" s="10" t="s">
        <v>14</v>
      </c>
    </row>
    <row r="6" customFormat="false" ht="15" hidden="false" customHeight="false" outlineLevel="0" collapsed="false">
      <c r="A6" s="10" t="s">
        <v>128</v>
      </c>
      <c r="B6" s="10" t="s">
        <v>129</v>
      </c>
      <c r="C6" s="10" t="s">
        <v>119</v>
      </c>
      <c r="D6" s="2" t="s">
        <v>130</v>
      </c>
    </row>
    <row r="7" customFormat="false" ht="15" hidden="false" customHeight="false" outlineLevel="0" collapsed="false">
      <c r="A7" s="10" t="s">
        <v>131</v>
      </c>
      <c r="B7" s="2" t="s">
        <v>132</v>
      </c>
      <c r="C7" s="10" t="s">
        <v>110</v>
      </c>
      <c r="D7" s="1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134</v>
      </c>
      <c r="B1" s="9" t="s">
        <v>135</v>
      </c>
      <c r="C1" s="9" t="s">
        <v>136</v>
      </c>
    </row>
    <row r="2" customFormat="false" ht="15" hidden="false" customHeight="false" outlineLevel="0" collapsed="false">
      <c r="A2" s="2" t="s">
        <v>137</v>
      </c>
      <c r="B2" s="11" t="n">
        <f aca="false">COUNTA(DATA!A:A)-1</f>
        <v>3</v>
      </c>
      <c r="C2" s="10" t="s">
        <v>138</v>
      </c>
    </row>
    <row r="3" customFormat="false" ht="15" hidden="false" customHeight="false" outlineLevel="0" collapsed="false">
      <c r="A3" s="10" t="s">
        <v>139</v>
      </c>
      <c r="B3" s="11" t="n">
        <f aca="false">COUNTIF(DATA!D:D,"SYNTHETIC")</f>
        <v>3</v>
      </c>
      <c r="C3" s="2" t="s">
        <v>140</v>
      </c>
    </row>
    <row r="4" customFormat="false" ht="15" hidden="false" customHeight="false" outlineLevel="0" collapsed="false">
      <c r="A4" s="2" t="s">
        <v>141</v>
      </c>
      <c r="B4" s="11" t="str">
        <f aca="false">IF(B2=B3,"PASS","REVIEW")</f>
        <v>PASS</v>
      </c>
      <c r="C4" s="10" t="s">
        <v>142</v>
      </c>
    </row>
    <row r="5" customFormat="false" ht="15" hidden="false" customHeight="false" outlineLevel="0" collapsed="false">
      <c r="A5" s="2" t="s">
        <v>143</v>
      </c>
      <c r="B5" s="11" t="n">
        <f aca="false">COUNTBLANK(DATA!C2:INDEX(DATA!C:C,B2+1))</f>
        <v>0</v>
      </c>
      <c r="C5" s="10" t="s">
        <v>144</v>
      </c>
    </row>
    <row r="6" customFormat="false" ht="15" hidden="false" customHeight="false" outlineLevel="0" collapsed="false">
      <c r="A6" s="2" t="s">
        <v>145</v>
      </c>
      <c r="B6" s="11" t="str">
        <f aca="false">IF(AND(B4="PASS",B5=0),"PASS","REVIEW")</f>
        <v>PASS</v>
      </c>
      <c r="C6" s="10" t="s">
        <v>146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