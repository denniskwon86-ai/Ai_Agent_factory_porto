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DATA!$A$1:$V$5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<sst xmlns="http://schemas.openxmlformats.org/spreadsheetml/2006/main" count="292" uniqueCount="157">
  <si>
    <r>
      <rPr>
        <sz val="10"/>
        <color rgb="FF111827"/>
        <rFont val="Arial"/>
        <family val="0"/>
        <charset val="1"/>
      </rPr>
      <t xml:space="preserve">MDM-05 · 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</si>
  <si>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</si>
  <si>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</si>
  <si>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</si>
  <si>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</si>
  <si>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</si>
  <si>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</si>
  <si>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</si>
  <si>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</si>
  <si>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</si>
  <si>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</si>
  <si>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</si>
  <si>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bom_id, line_no</t>
  </si>
  <si>
    <t xml:space="preserve">선행 데이터</t>
  </si>
  <si>
    <t xml:space="preserve">MDM-01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</si>
  <si>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</si>
  <si>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</si>
  <si>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</si>
  <si>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</si>
  <si>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</si>
  <si>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</si>
  <si>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</si>
  <si>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</si>
  <si>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</si>
  <si>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</si>
  <si>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</si>
  <si>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</si>
  <si>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</si>
  <si>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</si>
  <si>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bom_id</t>
  </si>
  <si>
    <t xml:space="preserve">line_no</t>
  </si>
  <si>
    <t xml:space="preserve">output_material_id</t>
  </si>
  <si>
    <t xml:space="preserve">input_material_id</t>
  </si>
  <si>
    <t xml:space="preserve">component_role</t>
  </si>
  <si>
    <t xml:space="preserve">quantity_per_output</t>
  </si>
  <si>
    <t xml:space="preserve">input_uom</t>
  </si>
  <si>
    <t xml:space="preserve">output_uom</t>
  </si>
  <si>
    <t xml:space="preserve">standard_yield</t>
  </si>
  <si>
    <t xml:space="preserve">byproduct_material_id</t>
  </si>
  <si>
    <t xml:space="preserve">effective_from</t>
  </si>
  <si>
    <t xml:space="preserve">effective_to</t>
  </si>
  <si>
    <t xml:space="preserve">mdm-05-298b97c7391b</t>
  </si>
  <si>
    <t xml:space="preserve">tenant-afs-demo-materials</t>
  </si>
  <si>
    <t xml:space="preserve">plant-afs-smelting-01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</si>
  <si>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</si>
  <si>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</si>
  <si>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</si>
  <si>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</si>
  <si>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</si>
  <si>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lin-65e91f363dae</t>
  </si>
  <si>
    <t xml:space="preserve">BOM-FG-CATHODE-01</t>
  </si>
  <si>
    <t xml:space="preserve">1</t>
  </si>
  <si>
    <t xml:space="preserve">FG-CATHODE</t>
  </si>
  <si>
    <t xml:space="preserve">RM-CU-CONC</t>
  </si>
  <si>
    <t xml:space="preserve">INPUT</t>
  </si>
  <si>
    <t xml:space="preserve">3.3</t>
  </si>
  <si>
    <t xml:space="preserve">TON</t>
  </si>
  <si>
    <t xml:space="preserve">0.98</t>
  </si>
  <si>
    <t xml:space="preserve">BP-H2SO4</t>
  </si>
  <si>
    <t xml:space="preserve">2024-01-01</t>
  </si>
  <si>
    <t xml:space="preserve">9999-12-31</t>
  </si>
  <si>
    <t xml:space="preserve">mdm-05-e9c25e5e8273</t>
  </si>
  <si>
    <t xml:space="preserve">lin-794ad37c91bd</t>
  </si>
  <si>
    <t xml:space="preserve">2</t>
  </si>
  <si>
    <t xml:space="preserve">WIP-MATTE</t>
  </si>
  <si>
    <t xml:space="preserve">RETURN</t>
  </si>
  <si>
    <t xml:space="preserve">0.02</t>
  </si>
  <si>
    <t xml:space="preserve">mdm-05-604095c08bec</t>
  </si>
  <si>
    <t xml:space="preserve">plant-afs-battery-02</t>
  </si>
  <si>
    <t xml:space="preserve">lin-d0aa6efa98d9</t>
  </si>
  <si>
    <t xml:space="preserve">BOM-FG-NISO4-01</t>
  </si>
  <si>
    <t xml:space="preserve">FG-NISO4</t>
  </si>
  <si>
    <t xml:space="preserve">RM-MHP</t>
  </si>
  <si>
    <t xml:space="preserve">1.15</t>
  </si>
  <si>
    <t xml:space="preserve">0.94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</si>
  <si>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</si>
  <si>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</si>
  <si>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</si>
  <si>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</si>
  <si>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</si>
  <si>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</si>
  <si>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</si>
  <si>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</si>
  <si>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</si>
  <si>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</si>
  <si>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</si>
  <si>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</si>
  <si>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</si>
  <si>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</si>
  <si>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</si>
  <si>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</si>
  <si>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</si>
  <si>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bom_id</t>
    </r>
  </si>
  <si>
    <t xml:space="preserve">integer</t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</si>
  <si>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line_no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</si>
  <si>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output_material_id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</si>
  <si>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input_material_id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</si>
  <si>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component_role</t>
    </r>
  </si>
  <si>
    <t xml:space="preserve">number</t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</si>
  <si>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quantity_per_output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</si>
  <si>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input_uom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</si>
  <si>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output_uom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</si>
  <si>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standard_yield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</si>
  <si>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byproduct_material_id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</si>
  <si>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effective_from</t>
    </r>
  </si>
  <si>
    <r>
      <rPr>
        <sz val="10"/>
        <color rgb="FF111827"/>
        <rFont val="Arial"/>
        <family val="0"/>
        <charset val="1"/>
      </rPr>
      <t xml:space="preserve">BOM·</t>
    </r>
    <r>
      <rPr>
        <sz val="10"/>
        <color rgb="FF111827"/>
        <rFont val="맑은 고딕"/>
        <family val="2"/>
        <charset val="129"/>
      </rPr>
      <t xml:space="preserve">수율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부산물의 </t>
    </r>
    <r>
      <rPr>
        <sz val="10"/>
        <color rgb="FF111827"/>
        <rFont val="Arial"/>
        <family val="0"/>
        <charset val="1"/>
      </rPr>
      <t xml:space="preserve">effective_to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</si>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</sst>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5" displayName="T_MDM_05" ref="A1:V5" headerRowCount="1" totalsRowCount="0" totalsRowShown="0">
  <autoFilter ref="A1:V5"/>
  <tableColumns count="22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bom_id"/>
    <tableColumn id="12" name="line_no"/>
    <tableColumn id="13" name="output_material_id"/>
    <tableColumn id="14" name="input_material_id"/>
    <tableColumn id="15" name="component_role"/>
    <tableColumn id="16" name="quantity_per_output"/>
    <tableColumn id="17" name="input_uom"/>
    <tableColumn id="18" name="output_uom"/>
    <tableColumn id="19" name="standard_yield"/>
    <tableColumn id="20" name="byproduct_material_id"/>
    <tableColumn id="21" name="effective_from"/>
    <tableColumn id="22" name="effective_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7.43"/>
    <col collapsed="false" customWidth="true" hidden="false" outlineLevel="0" max="12" min="12" style="0" width="11.01"/>
    <col collapsed="false" customWidth="true" hidden="false" outlineLevel="0" max="13" min="13" style="0" width="18.35"/>
    <col collapsed="false" customWidth="true" hidden="false" outlineLevel="0" max="14" min="14" style="0" width="17.43"/>
    <col collapsed="false" customWidth="true" hidden="false" outlineLevel="0" max="15" min="15" style="0" width="14.68"/>
    <col collapsed="false" customWidth="true" hidden="false" outlineLevel="0" max="16" min="16" style="0" width="19.27"/>
    <col collapsed="false" customWidth="true" hidden="false" outlineLevel="0" max="18" min="17" style="0" width="11.01"/>
    <col collapsed="false" customWidth="true" hidden="false" outlineLevel="0" max="19" min="19" style="0" width="14.68"/>
    <col collapsed="false" customWidth="true" hidden="false" outlineLevel="0" max="20" min="20" style="0" width="21.1"/>
    <col collapsed="false" customWidth="true" hidden="false" outlineLevel="0" max="21" min="21" style="0" width="14.68"/>
    <col collapsed="false" customWidth="true" hidden="false" outlineLevel="0" max="22" min="22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</row>
    <row r="2" customFormat="false" ht="24.05" hidden="false" customHeight="false" outlineLevel="0" collapsed="false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44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56</v>
      </c>
      <c r="S2" s="7" t="s">
        <v>57</v>
      </c>
      <c r="T2" s="7" t="s">
        <v>58</v>
      </c>
      <c r="U2" s="7" t="s">
        <v>59</v>
      </c>
      <c r="V2" s="7" t="s">
        <v>60</v>
      </c>
    </row>
    <row r="3" customFormat="false" ht="24.05" hidden="false" customHeight="false" outlineLevel="0" collapsed="false">
      <c r="A3" s="7" t="s">
        <v>61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44</v>
      </c>
      <c r="G3" s="7" t="s">
        <v>46</v>
      </c>
      <c r="H3" s="7" t="s">
        <v>47</v>
      </c>
      <c r="I3" s="7" t="s">
        <v>48</v>
      </c>
      <c r="J3" s="7" t="s">
        <v>62</v>
      </c>
      <c r="K3" s="7" t="s">
        <v>50</v>
      </c>
      <c r="L3" s="7" t="s">
        <v>63</v>
      </c>
      <c r="M3" s="7" t="s">
        <v>52</v>
      </c>
      <c r="N3" s="7" t="s">
        <v>64</v>
      </c>
      <c r="O3" s="7" t="s">
        <v>65</v>
      </c>
      <c r="P3" s="7" t="s">
        <v>66</v>
      </c>
      <c r="Q3" s="7" t="s">
        <v>56</v>
      </c>
      <c r="R3" s="7" t="s">
        <v>56</v>
      </c>
      <c r="S3" s="7" t="s">
        <v>57</v>
      </c>
      <c r="T3" s="7" t="s">
        <v>58</v>
      </c>
      <c r="U3" s="7" t="s">
        <v>59</v>
      </c>
      <c r="V3" s="7" t="s">
        <v>60</v>
      </c>
    </row>
    <row r="4" customFormat="false" ht="15" hidden="false" customHeight="false" outlineLevel="0" collapsed="false">
      <c r="A4" s="7" t="s">
        <v>67</v>
      </c>
      <c r="B4" s="7" t="s">
        <v>42</v>
      </c>
      <c r="C4" s="7" t="s">
        <v>68</v>
      </c>
      <c r="D4" s="7" t="s">
        <v>44</v>
      </c>
      <c r="E4" s="7" t="s">
        <v>45</v>
      </c>
      <c r="F4" s="7" t="s">
        <v>44</v>
      </c>
      <c r="G4" s="7" t="s">
        <v>46</v>
      </c>
      <c r="H4" s="7" t="s">
        <v>47</v>
      </c>
      <c r="I4" s="7" t="s">
        <v>48</v>
      </c>
      <c r="J4" s="7" t="s">
        <v>69</v>
      </c>
      <c r="K4" s="7" t="s">
        <v>70</v>
      </c>
      <c r="L4" s="7" t="s">
        <v>51</v>
      </c>
      <c r="M4" s="7" t="s">
        <v>71</v>
      </c>
      <c r="N4" s="7" t="s">
        <v>72</v>
      </c>
      <c r="O4" s="7" t="s">
        <v>54</v>
      </c>
      <c r="P4" s="7" t="s">
        <v>73</v>
      </c>
      <c r="Q4" s="7" t="s">
        <v>56</v>
      </c>
      <c r="R4" s="7" t="s">
        <v>56</v>
      </c>
      <c r="S4" s="7" t="s">
        <v>74</v>
      </c>
      <c r="T4" s="7"/>
      <c r="U4" s="7" t="s">
        <v>59</v>
      </c>
      <c r="V4" s="7" t="s">
        <v>60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</sheetData>
  <autoFilter ref="A1:V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75</v>
      </c>
      <c r="B1" s="9" t="s">
        <v>76</v>
      </c>
      <c r="C1" s="9" t="s">
        <v>77</v>
      </c>
      <c r="D1" s="9" t="s">
        <v>11</v>
      </c>
      <c r="E1" s="9" t="s">
        <v>78</v>
      </c>
    </row>
    <row r="2" customFormat="false" ht="15" hidden="false" customHeight="false" outlineLevel="0" collapsed="false">
      <c r="A2" s="10" t="s">
        <v>19</v>
      </c>
      <c r="B2" s="10" t="s">
        <v>79</v>
      </c>
      <c r="C2" s="10" t="s">
        <v>80</v>
      </c>
      <c r="D2" s="10" t="s">
        <v>81</v>
      </c>
      <c r="E2" s="10" t="s">
        <v>82</v>
      </c>
    </row>
    <row r="3" customFormat="false" ht="15" hidden="false" customHeight="false" outlineLevel="0" collapsed="false">
      <c r="A3" s="10" t="s">
        <v>20</v>
      </c>
      <c r="B3" s="10" t="s">
        <v>79</v>
      </c>
      <c r="C3" s="10" t="s">
        <v>80</v>
      </c>
      <c r="D3" s="10" t="s">
        <v>81</v>
      </c>
      <c r="E3" s="10" t="s">
        <v>83</v>
      </c>
    </row>
    <row r="4" customFormat="false" ht="15" hidden="false" customHeight="false" outlineLevel="0" collapsed="false">
      <c r="A4" s="10" t="s">
        <v>21</v>
      </c>
      <c r="B4" s="10" t="s">
        <v>79</v>
      </c>
      <c r="C4" s="10" t="s">
        <v>80</v>
      </c>
      <c r="D4" s="10" t="s">
        <v>81</v>
      </c>
      <c r="E4" s="10" t="s">
        <v>84</v>
      </c>
    </row>
    <row r="5" customFormat="false" ht="15" hidden="false" customHeight="false" outlineLevel="0" collapsed="false">
      <c r="A5" s="10" t="s">
        <v>22</v>
      </c>
      <c r="B5" s="10" t="s">
        <v>79</v>
      </c>
      <c r="C5" s="10" t="s">
        <v>80</v>
      </c>
      <c r="D5" s="10" t="s">
        <v>81</v>
      </c>
      <c r="E5" s="10" t="s">
        <v>85</v>
      </c>
    </row>
    <row r="6" customFormat="false" ht="15" hidden="false" customHeight="false" outlineLevel="0" collapsed="false">
      <c r="A6" s="10" t="s">
        <v>23</v>
      </c>
      <c r="B6" s="10" t="s">
        <v>79</v>
      </c>
      <c r="C6" s="10" t="s">
        <v>80</v>
      </c>
      <c r="D6" s="10" t="s">
        <v>81</v>
      </c>
      <c r="E6" s="10" t="s">
        <v>86</v>
      </c>
    </row>
    <row r="7" customFormat="false" ht="15" hidden="false" customHeight="false" outlineLevel="0" collapsed="false">
      <c r="A7" s="10" t="s">
        <v>24</v>
      </c>
      <c r="B7" s="10" t="s">
        <v>79</v>
      </c>
      <c r="C7" s="10" t="s">
        <v>80</v>
      </c>
      <c r="D7" s="10" t="s">
        <v>81</v>
      </c>
      <c r="E7" s="10" t="s">
        <v>87</v>
      </c>
    </row>
    <row r="8" customFormat="false" ht="15" hidden="false" customHeight="false" outlineLevel="0" collapsed="false">
      <c r="A8" s="10" t="s">
        <v>25</v>
      </c>
      <c r="B8" s="10" t="s">
        <v>79</v>
      </c>
      <c r="C8" s="10" t="s">
        <v>80</v>
      </c>
      <c r="D8" s="10" t="s">
        <v>81</v>
      </c>
      <c r="E8" s="10" t="s">
        <v>88</v>
      </c>
    </row>
    <row r="9" customFormat="false" ht="15" hidden="false" customHeight="false" outlineLevel="0" collapsed="false">
      <c r="A9" s="10" t="s">
        <v>26</v>
      </c>
      <c r="B9" s="10" t="s">
        <v>79</v>
      </c>
      <c r="C9" s="10" t="s">
        <v>80</v>
      </c>
      <c r="D9" s="10" t="s">
        <v>81</v>
      </c>
      <c r="E9" s="10" t="s">
        <v>89</v>
      </c>
    </row>
    <row r="10" customFormat="false" ht="15" hidden="false" customHeight="false" outlineLevel="0" collapsed="false">
      <c r="A10" s="10" t="s">
        <v>27</v>
      </c>
      <c r="B10" s="10" t="s">
        <v>79</v>
      </c>
      <c r="C10" s="10" t="s">
        <v>80</v>
      </c>
      <c r="D10" s="10" t="s">
        <v>81</v>
      </c>
      <c r="E10" s="10" t="s">
        <v>90</v>
      </c>
    </row>
    <row r="11" customFormat="false" ht="15" hidden="false" customHeight="false" outlineLevel="0" collapsed="false">
      <c r="A11" s="10" t="s">
        <v>28</v>
      </c>
      <c r="B11" s="10" t="s">
        <v>79</v>
      </c>
      <c r="C11" s="10" t="s">
        <v>80</v>
      </c>
      <c r="D11" s="10" t="s">
        <v>81</v>
      </c>
      <c r="E11" s="10" t="s">
        <v>91</v>
      </c>
    </row>
    <row r="12" customFormat="false" ht="15" hidden="false" customHeight="false" outlineLevel="0" collapsed="false">
      <c r="A12" s="10" t="s">
        <v>29</v>
      </c>
      <c r="B12" s="10" t="s">
        <v>79</v>
      </c>
      <c r="C12" s="10" t="s">
        <v>80</v>
      </c>
      <c r="D12" s="10" t="s">
        <v>80</v>
      </c>
      <c r="E12" s="10" t="s">
        <v>92</v>
      </c>
    </row>
    <row r="13" customFormat="false" ht="15" hidden="false" customHeight="false" outlineLevel="0" collapsed="false">
      <c r="A13" s="10" t="s">
        <v>30</v>
      </c>
      <c r="B13" s="10" t="s">
        <v>93</v>
      </c>
      <c r="C13" s="10" t="s">
        <v>80</v>
      </c>
      <c r="D13" s="10" t="s">
        <v>80</v>
      </c>
      <c r="E13" s="10" t="s">
        <v>94</v>
      </c>
    </row>
    <row r="14" customFormat="false" ht="15" hidden="false" customHeight="false" outlineLevel="0" collapsed="false">
      <c r="A14" s="10" t="s">
        <v>31</v>
      </c>
      <c r="B14" s="10" t="s">
        <v>79</v>
      </c>
      <c r="C14" s="10" t="s">
        <v>81</v>
      </c>
      <c r="D14" s="10" t="s">
        <v>81</v>
      </c>
      <c r="E14" s="10" t="s">
        <v>95</v>
      </c>
    </row>
    <row r="15" customFormat="false" ht="15" hidden="false" customHeight="false" outlineLevel="0" collapsed="false">
      <c r="A15" s="10" t="s">
        <v>32</v>
      </c>
      <c r="B15" s="10" t="s">
        <v>79</v>
      </c>
      <c r="C15" s="10" t="s">
        <v>81</v>
      </c>
      <c r="D15" s="10" t="s">
        <v>81</v>
      </c>
      <c r="E15" s="10" t="s">
        <v>96</v>
      </c>
    </row>
    <row r="16" customFormat="false" ht="15" hidden="false" customHeight="false" outlineLevel="0" collapsed="false">
      <c r="A16" s="10" t="s">
        <v>33</v>
      </c>
      <c r="B16" s="10" t="s">
        <v>79</v>
      </c>
      <c r="C16" s="10" t="s">
        <v>81</v>
      </c>
      <c r="D16" s="10" t="s">
        <v>81</v>
      </c>
      <c r="E16" s="10" t="s">
        <v>97</v>
      </c>
    </row>
    <row r="17" customFormat="false" ht="15" hidden="false" customHeight="false" outlineLevel="0" collapsed="false">
      <c r="A17" s="10" t="s">
        <v>34</v>
      </c>
      <c r="B17" s="10" t="s">
        <v>98</v>
      </c>
      <c r="C17" s="10" t="s">
        <v>81</v>
      </c>
      <c r="D17" s="10" t="s">
        <v>81</v>
      </c>
      <c r="E17" s="10" t="s">
        <v>99</v>
      </c>
    </row>
    <row r="18" customFormat="false" ht="15" hidden="false" customHeight="false" outlineLevel="0" collapsed="false">
      <c r="A18" s="10" t="s">
        <v>35</v>
      </c>
      <c r="B18" s="10" t="s">
        <v>79</v>
      </c>
      <c r="C18" s="10" t="s">
        <v>81</v>
      </c>
      <c r="D18" s="10" t="s">
        <v>81</v>
      </c>
      <c r="E18" s="10" t="s">
        <v>100</v>
      </c>
    </row>
    <row r="19" customFormat="false" ht="15" hidden="false" customHeight="false" outlineLevel="0" collapsed="false">
      <c r="A19" s="10" t="s">
        <v>36</v>
      </c>
      <c r="B19" s="10" t="s">
        <v>79</v>
      </c>
      <c r="C19" s="10" t="s">
        <v>81</v>
      </c>
      <c r="D19" s="10" t="s">
        <v>81</v>
      </c>
      <c r="E19" s="10" t="s">
        <v>101</v>
      </c>
    </row>
    <row r="20" customFormat="false" ht="15" hidden="false" customHeight="false" outlineLevel="0" collapsed="false">
      <c r="A20" s="10" t="s">
        <v>37</v>
      </c>
      <c r="B20" s="10" t="s">
        <v>98</v>
      </c>
      <c r="C20" s="10" t="s">
        <v>81</v>
      </c>
      <c r="D20" s="10" t="s">
        <v>81</v>
      </c>
      <c r="E20" s="10" t="s">
        <v>102</v>
      </c>
    </row>
    <row r="21" customFormat="false" ht="15" hidden="false" customHeight="false" outlineLevel="0" collapsed="false">
      <c r="A21" s="10" t="s">
        <v>38</v>
      </c>
      <c r="B21" s="10" t="s">
        <v>79</v>
      </c>
      <c r="C21" s="10" t="s">
        <v>81</v>
      </c>
      <c r="D21" s="10" t="s">
        <v>81</v>
      </c>
      <c r="E21" s="10" t="s">
        <v>103</v>
      </c>
    </row>
    <row r="22" customFormat="false" ht="15" hidden="false" customHeight="false" outlineLevel="0" collapsed="false">
      <c r="A22" s="10" t="s">
        <v>39</v>
      </c>
      <c r="B22" s="10" t="s">
        <v>79</v>
      </c>
      <c r="C22" s="10" t="s">
        <v>81</v>
      </c>
      <c r="D22" s="10" t="s">
        <v>81</v>
      </c>
      <c r="E22" s="10" t="s">
        <v>104</v>
      </c>
    </row>
    <row r="23" customFormat="false" ht="15" hidden="false" customHeight="false" outlineLevel="0" collapsed="false">
      <c r="A23" s="10" t="s">
        <v>40</v>
      </c>
      <c r="B23" s="10" t="s">
        <v>79</v>
      </c>
      <c r="C23" s="10" t="s">
        <v>81</v>
      </c>
      <c r="D23" s="10" t="s">
        <v>81</v>
      </c>
      <c r="E23" s="1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106</v>
      </c>
      <c r="B1" s="9" t="s">
        <v>107</v>
      </c>
      <c r="C1" s="9" t="s">
        <v>108</v>
      </c>
    </row>
    <row r="2" customFormat="false" ht="15" hidden="false" customHeight="false" outlineLevel="0" collapsed="false">
      <c r="A2" s="10" t="s">
        <v>22</v>
      </c>
      <c r="B2" s="10" t="s">
        <v>44</v>
      </c>
      <c r="C2" s="2" t="s">
        <v>109</v>
      </c>
    </row>
    <row r="3" customFormat="false" ht="15" hidden="false" customHeight="false" outlineLevel="0" collapsed="false">
      <c r="A3" s="10" t="s">
        <v>23</v>
      </c>
      <c r="B3" s="10" t="s">
        <v>110</v>
      </c>
      <c r="C3" s="2" t="s">
        <v>111</v>
      </c>
    </row>
    <row r="4" customFormat="false" ht="15" hidden="false" customHeight="false" outlineLevel="0" collapsed="false">
      <c r="A4" s="10" t="s">
        <v>23</v>
      </c>
      <c r="B4" s="10" t="s">
        <v>112</v>
      </c>
      <c r="C4" s="2" t="s">
        <v>113</v>
      </c>
    </row>
    <row r="5" customFormat="false" ht="15" hidden="false" customHeight="false" outlineLevel="0" collapsed="false">
      <c r="A5" s="10" t="s">
        <v>23</v>
      </c>
      <c r="B5" s="10" t="s">
        <v>114</v>
      </c>
      <c r="C5" s="2" t="s">
        <v>115</v>
      </c>
    </row>
    <row r="6" customFormat="false" ht="15" hidden="false" customHeight="false" outlineLevel="0" collapsed="false">
      <c r="A6" s="10" t="s">
        <v>23</v>
      </c>
      <c r="B6" s="10" t="s">
        <v>116</v>
      </c>
      <c r="C6" s="10" t="s">
        <v>117</v>
      </c>
    </row>
    <row r="7" customFormat="false" ht="15" hidden="false" customHeight="false" outlineLevel="0" collapsed="false">
      <c r="A7" s="10" t="s">
        <v>23</v>
      </c>
      <c r="B7" s="10" t="s">
        <v>45</v>
      </c>
      <c r="C7" s="2" t="s">
        <v>118</v>
      </c>
    </row>
    <row r="8" customFormat="false" ht="15" hidden="false" customHeight="false" outlineLevel="0" collapsed="false">
      <c r="A8" s="10" t="s">
        <v>25</v>
      </c>
      <c r="B8" s="10" t="s">
        <v>46</v>
      </c>
      <c r="C8" s="2" t="s">
        <v>119</v>
      </c>
    </row>
    <row r="9" customFormat="false" ht="15" hidden="false" customHeight="false" outlineLevel="0" collapsed="false">
      <c r="A9" s="10" t="s">
        <v>25</v>
      </c>
      <c r="B9" s="10" t="s">
        <v>120</v>
      </c>
      <c r="C9" s="2" t="s">
        <v>121</v>
      </c>
    </row>
    <row r="10" customFormat="false" ht="15" hidden="false" customHeight="false" outlineLevel="0" collapsed="false">
      <c r="A10" s="10" t="s">
        <v>26</v>
      </c>
      <c r="B10" s="10" t="s">
        <v>47</v>
      </c>
      <c r="C10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123</v>
      </c>
      <c r="B1" s="9" t="s">
        <v>124</v>
      </c>
      <c r="C1" s="9" t="s">
        <v>125</v>
      </c>
      <c r="D1" s="9" t="s">
        <v>126</v>
      </c>
    </row>
    <row r="2" customFormat="false" ht="15" hidden="false" customHeight="false" outlineLevel="0" collapsed="false">
      <c r="A2" s="10" t="s">
        <v>127</v>
      </c>
      <c r="B2" s="2" t="s">
        <v>128</v>
      </c>
      <c r="C2" s="10" t="s">
        <v>129</v>
      </c>
      <c r="D2" s="2" t="s">
        <v>130</v>
      </c>
    </row>
    <row r="3" customFormat="false" ht="15" hidden="false" customHeight="false" outlineLevel="0" collapsed="false">
      <c r="A3" s="10" t="s">
        <v>131</v>
      </c>
      <c r="B3" s="10" t="s">
        <v>132</v>
      </c>
      <c r="C3" s="10" t="s">
        <v>129</v>
      </c>
      <c r="D3" s="10" t="s">
        <v>133</v>
      </c>
    </row>
    <row r="4" customFormat="false" ht="15" hidden="false" customHeight="false" outlineLevel="0" collapsed="false">
      <c r="A4" s="10" t="s">
        <v>134</v>
      </c>
      <c r="B4" s="2" t="s">
        <v>135</v>
      </c>
      <c r="C4" s="10" t="s">
        <v>120</v>
      </c>
      <c r="D4" s="10" t="s">
        <v>12</v>
      </c>
    </row>
    <row r="5" customFormat="false" ht="15" hidden="false" customHeight="false" outlineLevel="0" collapsed="false">
      <c r="A5" s="10" t="s">
        <v>136</v>
      </c>
      <c r="B5" s="2" t="s">
        <v>137</v>
      </c>
      <c r="C5" s="10" t="s">
        <v>120</v>
      </c>
      <c r="D5" s="10" t="s">
        <v>14</v>
      </c>
    </row>
    <row r="6" customFormat="false" ht="15" hidden="false" customHeight="false" outlineLevel="0" collapsed="false">
      <c r="A6" s="10" t="s">
        <v>138</v>
      </c>
      <c r="B6" s="10" t="s">
        <v>139</v>
      </c>
      <c r="C6" s="10" t="s">
        <v>129</v>
      </c>
      <c r="D6" s="2" t="s">
        <v>140</v>
      </c>
    </row>
    <row r="7" customFormat="false" ht="15" hidden="false" customHeight="false" outlineLevel="0" collapsed="false">
      <c r="A7" s="10" t="s">
        <v>141</v>
      </c>
      <c r="B7" s="2" t="s">
        <v>142</v>
      </c>
      <c r="C7" s="10" t="s">
        <v>120</v>
      </c>
      <c r="D7" s="1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144</v>
      </c>
      <c r="B1" s="9" t="s">
        <v>145</v>
      </c>
      <c r="C1" s="9" t="s">
        <v>146</v>
      </c>
    </row>
    <row r="2" customFormat="false" ht="15" hidden="false" customHeight="false" outlineLevel="0" collapsed="false">
      <c r="A2" s="2" t="s">
        <v>147</v>
      </c>
      <c r="B2" s="11" t="n">
        <f aca="false">COUNTA(DATA!A:A)-1</f>
        <v>3</v>
      </c>
      <c r="C2" s="10" t="s">
        <v>148</v>
      </c>
    </row>
    <row r="3" customFormat="false" ht="15" hidden="false" customHeight="false" outlineLevel="0" collapsed="false">
      <c r="A3" s="10" t="s">
        <v>149</v>
      </c>
      <c r="B3" s="11" t="n">
        <f aca="false">COUNTIF(DATA!D:D,"SYNTHETIC")</f>
        <v>3</v>
      </c>
      <c r="C3" s="2" t="s">
        <v>150</v>
      </c>
    </row>
    <row r="4" customFormat="false" ht="15" hidden="false" customHeight="false" outlineLevel="0" collapsed="false">
      <c r="A4" s="2" t="s">
        <v>151</v>
      </c>
      <c r="B4" s="11" t="str">
        <f aca="false">IF(B2=B3,"PASS","REVIEW")</f>
        <v>PASS</v>
      </c>
      <c r="C4" s="10" t="s">
        <v>152</v>
      </c>
    </row>
    <row r="5" customFormat="false" ht="15" hidden="false" customHeight="false" outlineLevel="0" collapsed="false">
      <c r="A5" s="2" t="s">
        <v>153</v>
      </c>
      <c r="B5" s="11" t="n">
        <f aca="false">COUNTBLANK(DATA!C2:INDEX(DATA!C:C,B2+1))</f>
        <v>0</v>
      </c>
      <c r="C5" s="10" t="s">
        <v>154</v>
      </c>
    </row>
    <row r="6" customFormat="false" ht="15" hidden="false" customHeight="false" outlineLevel="0" collapsed="false">
      <c r="A6" s="2" t="s">
        <v>155</v>
      </c>
      <c r="B6" s="11" t="str">
        <f aca="false">IF(AND(B4="PASS",B5=0),"PASS","REVIEW")</f>
        <v>PASS</v>
      </c>
      <c r="C6" s="10" t="s">
        <v>156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