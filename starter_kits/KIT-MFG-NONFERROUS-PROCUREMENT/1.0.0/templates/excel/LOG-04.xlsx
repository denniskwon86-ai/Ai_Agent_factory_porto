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TRUCTIONS" sheetId="1" state="visible" r:id="rId3"/>
    <sheet name="DATA" sheetId="2" state="visible" r:id="rId4"/>
    <sheet name="DATA_DICTIONARY" sheetId="3" state="visible" r:id="rId5"/>
    <sheet name="CODE_MAP" sheetId="4" state="visible" r:id="rId6"/>
    <sheet name="VALIDATION" sheetId="5" state="visible" r:id="rId7"/>
    <sheet name="CHECKS" sheetId="6" state="visible" r:id="rId8"/>
  </sheets>
  <definedNames>
    <definedName function="false" hidden="true" localSheetId="1" name="_xlnm._FilterDatabase" vbProcedure="false">DATA!$A$1:$S$5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AI Factory Studio</author>
  </authors>
  <commentList>
    <comment ref="A5" authorId="0">
      <text>
        <r>
          <rPr>
            <sz val="10"/>
            <rFont val="맑은 고딕"/>
            <family val="2"/>
            <charset val="129"/>
          </rPr>
          <t xml:space="preserve">이 행부터 회사 데이터를 입력하십시오. 예시행은 SYNTHETIC입니다.</t>
        </r>
      </text>
    </comment>
  </commentList>
</comments>
</file>

<file path=xl/sharedStrings.xml><?xml version="1.0" encoding="utf-8"?>
<sst xmlns="http://schemas.openxmlformats.org/spreadsheetml/2006/main" count="266" uniqueCount="145">
  <si>
    <r>
      <rPr>
        <sz val="10"/>
        <color rgb="FF111827"/>
        <rFont val="Arial"/>
        <family val="0"/>
        <charset val="1"/>
      </rPr>
      <t xml:space="preserve">LOG-04 · </t>
    </r>
    <r>
      <rPr>
        <sz val="10"/>
        <color rgb="FF111827"/>
        <rFont val="맑은 고딕"/>
        <family val="2"/>
        <charset val="129"/>
      </rPr>
      <t xml:space="preserve">통관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검사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관세 입력 템플릿</t>
    </r>
  </si>
  <si>
    <t xml:space="preserve">키트</t>
  </si>
  <si>
    <t xml:space="preserve">KIT-MFG-NONFERROUS-PROCUREMENT 1.0.0</t>
  </si>
  <si>
    <t xml:space="preserve">용도</t>
  </si>
  <si>
    <r>
      <rPr>
        <sz val="10"/>
        <color rgb="FF111827"/>
        <rFont val="맑은 고딕"/>
        <family val="2"/>
        <charset val="129"/>
      </rPr>
      <t xml:space="preserve">검증된 가상기업 샘플을 참고하여 회사 데이터로 교체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등록</t>
    </r>
  </si>
  <si>
    <t xml:space="preserve">중요</t>
  </si>
  <si>
    <r>
      <rPr>
        <sz val="10"/>
        <color rgb="FF111827"/>
        <rFont val="맑은 고딕"/>
        <family val="2"/>
        <charset val="129"/>
      </rPr>
      <t xml:space="preserve">이 파일의 예시값은 모두 </t>
    </r>
    <r>
      <rPr>
        <sz val="10"/>
        <color rgb="FF111827"/>
        <rFont val="Arial"/>
        <family val="0"/>
        <charset val="1"/>
      </rPr>
      <t xml:space="preserve">SYNTHETIC</t>
    </r>
    <r>
      <rPr>
        <sz val="10"/>
        <color rgb="FF111827"/>
        <rFont val="맑은 고딕"/>
        <family val="2"/>
        <charset val="129"/>
      </rPr>
      <t xml:space="preserve">이며 실제 경영 의사결정에 사용할 수 없습니다</t>
    </r>
    <r>
      <rPr>
        <sz val="10"/>
        <color rgb="FF111827"/>
        <rFont val="Arial"/>
        <family val="0"/>
        <charset val="1"/>
      </rPr>
      <t xml:space="preserve">.</t>
    </r>
  </si>
  <si>
    <t xml:space="preserve">편집 순서</t>
  </si>
  <si>
    <r>
      <rPr>
        <sz val="10"/>
        <color rgb="FF111827"/>
        <rFont val="Arial"/>
        <family val="0"/>
        <charset val="1"/>
      </rPr>
      <t xml:space="preserve">1) DATA</t>
    </r>
    <r>
      <rPr>
        <sz val="10"/>
        <color rgb="FF111827"/>
        <rFont val="맑은 고딕"/>
        <family val="2"/>
        <charset val="129"/>
      </rPr>
      <t xml:space="preserve">의 파란 예시행 확인 → </t>
    </r>
    <r>
      <rPr>
        <sz val="10"/>
        <color rgb="FF111827"/>
        <rFont val="Arial"/>
        <family val="0"/>
        <charset val="1"/>
      </rPr>
      <t xml:space="preserve">2) </t>
    </r>
    <r>
      <rPr>
        <sz val="10"/>
        <color rgb="FF111827"/>
        <rFont val="맑은 고딕"/>
        <family val="2"/>
        <charset val="129"/>
      </rPr>
      <t xml:space="preserve">노란 빈 행부터 입력 → </t>
    </r>
    <r>
      <rPr>
        <sz val="10"/>
        <color rgb="FF111827"/>
        <rFont val="Arial"/>
        <family val="0"/>
        <charset val="1"/>
      </rPr>
      <t xml:space="preserve">3) VALIDATION </t>
    </r>
    <r>
      <rPr>
        <sz val="10"/>
        <color rgb="FF111827"/>
        <rFont val="맑은 고딕"/>
        <family val="2"/>
        <charset val="129"/>
      </rPr>
      <t xml:space="preserve">확인 → </t>
    </r>
    <r>
      <rPr>
        <sz val="10"/>
        <color rgb="FF111827"/>
        <rFont val="Arial"/>
        <family val="0"/>
        <charset val="1"/>
      </rPr>
      <t xml:space="preserve">4) CHECKS</t>
    </r>
    <r>
      <rPr>
        <sz val="10"/>
        <color rgb="FF111827"/>
        <rFont val="맑은 고딕"/>
        <family val="2"/>
        <charset val="129"/>
      </rPr>
      <t xml:space="preserve">가 </t>
    </r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인지 확인</t>
    </r>
  </si>
  <si>
    <t xml:space="preserve">필수 범위</t>
  </si>
  <si>
    <r>
      <rPr>
        <sz val="10"/>
        <color rgb="FF111827"/>
        <rFont val="Arial"/>
        <family val="0"/>
        <charset val="1"/>
      </rPr>
      <t xml:space="preserve">tenant_id</t>
    </r>
    <r>
      <rPr>
        <sz val="10"/>
        <color rgb="FF111827"/>
        <rFont val="맑은 고딕"/>
        <family val="2"/>
        <charset val="129"/>
      </rPr>
      <t xml:space="preserve">와 </t>
    </r>
    <r>
      <rPr>
        <sz val="10"/>
        <color rgb="FF111827"/>
        <rFont val="Arial"/>
        <family val="0"/>
        <charset val="1"/>
      </rPr>
      <t xml:space="preserve">scope_node_id</t>
    </r>
    <r>
      <rPr>
        <sz val="10"/>
        <color rgb="FF111827"/>
        <rFont val="맑은 고딕"/>
        <family val="2"/>
        <charset val="129"/>
      </rPr>
      <t xml:space="preserve">가 없으면 </t>
    </r>
    <r>
      <rPr>
        <sz val="10"/>
        <color rgb="FF111827"/>
        <rFont val="Arial"/>
        <family val="0"/>
        <charset val="1"/>
      </rPr>
      <t xml:space="preserve">Fail-closed</t>
    </r>
    <r>
      <rPr>
        <sz val="10"/>
        <color rgb="FF111827"/>
        <rFont val="맑은 고딕"/>
        <family val="2"/>
        <charset val="129"/>
      </rPr>
      <t xml:space="preserve">로 등록이 거부됩니다</t>
    </r>
    <r>
      <rPr>
        <sz val="10"/>
        <color rgb="FF111827"/>
        <rFont val="Arial"/>
        <family val="0"/>
        <charset val="1"/>
      </rPr>
      <t xml:space="preserve">.</t>
    </r>
  </si>
  <si>
    <t xml:space="preserve">업무 키</t>
  </si>
  <si>
    <t xml:space="preserve">clearance_id</t>
  </si>
  <si>
    <t xml:space="preserve">선행 데이터</t>
  </si>
  <si>
    <t xml:space="preserve">LOG-02</t>
  </si>
  <si>
    <t xml:space="preserve">분류 원칙</t>
  </si>
  <si>
    <r>
      <rPr>
        <sz val="10"/>
        <color rgb="FF111827"/>
        <rFont val="Arial"/>
        <family val="0"/>
        <charset val="1"/>
      </rPr>
      <t xml:space="preserve">data_class=SYNTHETIC</t>
    </r>
    <r>
      <rPr>
        <sz val="10"/>
        <color rgb="FF111827"/>
        <rFont val="맑은 고딕"/>
        <family val="2"/>
        <charset val="129"/>
      </rPr>
      <t xml:space="preserve">은 샘플의 출처 분류이며</t>
    </r>
    <r>
      <rPr>
        <sz val="10"/>
        <color rgb="FF111827"/>
        <rFont val="Arial"/>
        <family val="0"/>
        <charset val="1"/>
      </rPr>
      <t xml:space="preserve">, business_data_kind</t>
    </r>
    <r>
      <rPr>
        <sz val="10"/>
        <color rgb="FF111827"/>
        <rFont val="맑은 고딕"/>
        <family val="2"/>
        <charset val="129"/>
      </rPr>
      <t xml:space="preserve">는 값의 업무 의미</t>
    </r>
    <r>
      <rPr>
        <sz val="10"/>
        <color rgb="FF111827"/>
        <rFont val="Arial"/>
        <family val="0"/>
        <charset val="1"/>
      </rPr>
      <t xml:space="preserve">(ACTUAL/PLAN </t>
    </r>
    <r>
      <rPr>
        <sz val="10"/>
        <color rgb="FF111827"/>
        <rFont val="맑은 고딕"/>
        <family val="2"/>
        <charset val="129"/>
      </rPr>
      <t xml:space="preserve">등</t>
    </r>
    <r>
      <rPr>
        <sz val="10"/>
        <color rgb="FF111827"/>
        <rFont val="Arial"/>
        <family val="0"/>
        <charset val="1"/>
      </rPr>
      <t xml:space="preserve">)</t>
    </r>
    <r>
      <rPr>
        <sz val="10"/>
        <color rgb="FF111827"/>
        <rFont val="맑은 고딕"/>
        <family val="2"/>
        <charset val="129"/>
      </rPr>
      <t xml:space="preserve">입니다</t>
    </r>
    <r>
      <rPr>
        <sz val="10"/>
        <color rgb="FF111827"/>
        <rFont val="Arial"/>
        <family val="0"/>
        <charset val="1"/>
      </rPr>
      <t xml:space="preserve">.</t>
    </r>
  </si>
  <si>
    <t xml:space="preserve">사용자 입력</t>
  </si>
  <si>
    <r>
      <rPr>
        <sz val="10"/>
        <color rgb="FF111827"/>
        <rFont val="맑은 고딕"/>
        <family val="2"/>
        <charset val="129"/>
      </rPr>
      <t xml:space="preserve">노란색 셀은 회사 맞춤 입력 영역입니다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예시행은 삭제하거나 별도 보관한 뒤 실제값으로 대체하십시오</t>
    </r>
    <r>
      <rPr>
        <sz val="10"/>
        <color rgb="FF111827"/>
        <rFont val="Arial"/>
        <family val="0"/>
        <charset val="1"/>
      </rPr>
      <t xml:space="preserve">.</t>
    </r>
  </si>
  <si>
    <t xml:space="preserve">record_id</t>
  </si>
  <si>
    <t xml:space="preserve">tenant_id</t>
  </si>
  <si>
    <t xml:space="preserve">scope_node_id</t>
  </si>
  <si>
    <t xml:space="preserve">data_class</t>
  </si>
  <si>
    <t xml:space="preserve">business_data_kind</t>
  </si>
  <si>
    <t xml:space="preserve">data_origin</t>
  </si>
  <si>
    <t xml:space="preserve">quality_status</t>
  </si>
  <si>
    <t xml:space="preserve">certification_status</t>
  </si>
  <si>
    <t xml:space="preserve">as_of_date</t>
  </si>
  <si>
    <t xml:space="preserve">lineage_id</t>
  </si>
  <si>
    <t xml:space="preserve">shipment_id</t>
  </si>
  <si>
    <t xml:space="preserve">declaration_date</t>
  </si>
  <si>
    <t xml:space="preserve">inspection_status</t>
  </si>
  <si>
    <t xml:space="preserve">duty_amount</t>
  </si>
  <si>
    <t xml:space="preserve">currency</t>
  </si>
  <si>
    <t xml:space="preserve">cleared_at</t>
  </si>
  <si>
    <t xml:space="preserve">status</t>
  </si>
  <si>
    <t xml:space="preserve">source_version</t>
  </si>
  <si>
    <t xml:space="preserve">log-04-e1db462ba123</t>
  </si>
  <si>
    <t xml:space="preserve">tenant-afs-demo-materials</t>
  </si>
  <si>
    <t xml:space="preserve">plant-afs-battery-02</t>
  </si>
  <si>
    <t xml:space="preserve">SYNTHETIC</t>
  </si>
  <si>
    <t xml:space="preserve">ACTUAL</t>
  </si>
  <si>
    <t xml:space="preserve">PASS</t>
  </si>
  <si>
    <t xml:space="preserve">CERTIFIED_FOR_DEMO</t>
  </si>
  <si>
    <t xml:space="preserve">2026-08-11</t>
  </si>
  <si>
    <t xml:space="preserve">lin-ad1683e1abd1</t>
  </si>
  <si>
    <t xml:space="preserve">CUSCLR-000001</t>
  </si>
  <si>
    <t xml:space="preserve">SHP-000001</t>
  </si>
  <si>
    <t xml:space="preserve">2026-03-19</t>
  </si>
  <si>
    <t xml:space="preserve">CLEARED</t>
  </si>
  <si>
    <t xml:space="preserve">0.0</t>
  </si>
  <si>
    <t xml:space="preserve">USD</t>
  </si>
  <si>
    <t xml:space="preserve">2026-03-21</t>
  </si>
  <si>
    <t xml:space="preserve">1</t>
  </si>
  <si>
    <t xml:space="preserve">log-04-e7218cf2f4ed</t>
  </si>
  <si>
    <t xml:space="preserve">lin-fd742bdc8e6d</t>
  </si>
  <si>
    <t xml:space="preserve">CUSCLR-000002</t>
  </si>
  <si>
    <t xml:space="preserve">SHP-000002</t>
  </si>
  <si>
    <t xml:space="preserve">2026-04-12</t>
  </si>
  <si>
    <t xml:space="preserve">2026-04-15</t>
  </si>
  <si>
    <t xml:space="preserve">log-04-6303ed9344b4</t>
  </si>
  <si>
    <t xml:space="preserve">lin-30c85fb5fea9</t>
  </si>
  <si>
    <t xml:space="preserve">CUSCLR-000003</t>
  </si>
  <si>
    <t xml:space="preserve">SHP-000003</t>
  </si>
  <si>
    <t xml:space="preserve">2026-05-08</t>
  </si>
  <si>
    <t xml:space="preserve">2026-05-12</t>
  </si>
  <si>
    <t xml:space="preserve">필드명</t>
  </si>
  <si>
    <t xml:space="preserve">형식</t>
  </si>
  <si>
    <t xml:space="preserve">필수</t>
  </si>
  <si>
    <t xml:space="preserve">설명</t>
  </si>
  <si>
    <t xml:space="preserve">string</t>
  </si>
  <si>
    <t xml:space="preserve">Y</t>
  </si>
  <si>
    <t xml:space="preserve">N</t>
  </si>
  <si>
    <r>
      <rPr>
        <sz val="10"/>
        <color rgb="FF111827"/>
        <rFont val="맑은 고딕"/>
        <family val="2"/>
        <charset val="129"/>
      </rPr>
      <t xml:space="preserve">통관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검사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관세의 </t>
    </r>
    <r>
      <rPr>
        <sz val="10"/>
        <color rgb="FF111827"/>
        <rFont val="Arial"/>
        <family val="0"/>
        <charset val="1"/>
      </rPr>
      <t xml:space="preserve">record_id</t>
    </r>
  </si>
  <si>
    <r>
      <rPr>
        <sz val="10"/>
        <color rgb="FF111827"/>
        <rFont val="맑은 고딕"/>
        <family val="2"/>
        <charset val="129"/>
      </rPr>
      <t xml:space="preserve">통관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검사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관세의 </t>
    </r>
    <r>
      <rPr>
        <sz val="10"/>
        <color rgb="FF111827"/>
        <rFont val="Arial"/>
        <family val="0"/>
        <charset val="1"/>
      </rPr>
      <t xml:space="preserve">tenant_id</t>
    </r>
  </si>
  <si>
    <r>
      <rPr>
        <sz val="10"/>
        <color rgb="FF111827"/>
        <rFont val="맑은 고딕"/>
        <family val="2"/>
        <charset val="129"/>
      </rPr>
      <t xml:space="preserve">통관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검사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관세의 </t>
    </r>
    <r>
      <rPr>
        <sz val="10"/>
        <color rgb="FF111827"/>
        <rFont val="Arial"/>
        <family val="0"/>
        <charset val="1"/>
      </rPr>
      <t xml:space="preserve">scope_node_id</t>
    </r>
  </si>
  <si>
    <r>
      <rPr>
        <sz val="10"/>
        <color rgb="FF111827"/>
        <rFont val="맑은 고딕"/>
        <family val="2"/>
        <charset val="129"/>
      </rPr>
      <t xml:space="preserve">통관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검사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관세의 </t>
    </r>
    <r>
      <rPr>
        <sz val="10"/>
        <color rgb="FF111827"/>
        <rFont val="Arial"/>
        <family val="0"/>
        <charset val="1"/>
      </rPr>
      <t xml:space="preserve">data_class</t>
    </r>
  </si>
  <si>
    <r>
      <rPr>
        <sz val="10"/>
        <color rgb="FF111827"/>
        <rFont val="맑은 고딕"/>
        <family val="2"/>
        <charset val="129"/>
      </rPr>
      <t xml:space="preserve">통관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검사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관세의 </t>
    </r>
    <r>
      <rPr>
        <sz val="10"/>
        <color rgb="FF111827"/>
        <rFont val="Arial"/>
        <family val="0"/>
        <charset val="1"/>
      </rPr>
      <t xml:space="preserve">business_data_kind</t>
    </r>
  </si>
  <si>
    <r>
      <rPr>
        <sz val="10"/>
        <color rgb="FF111827"/>
        <rFont val="맑은 고딕"/>
        <family val="2"/>
        <charset val="129"/>
      </rPr>
      <t xml:space="preserve">통관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검사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관세의 </t>
    </r>
    <r>
      <rPr>
        <sz val="10"/>
        <color rgb="FF111827"/>
        <rFont val="Arial"/>
        <family val="0"/>
        <charset val="1"/>
      </rPr>
      <t xml:space="preserve">data_origin</t>
    </r>
  </si>
  <si>
    <r>
      <rPr>
        <sz val="10"/>
        <color rgb="FF111827"/>
        <rFont val="맑은 고딕"/>
        <family val="2"/>
        <charset val="129"/>
      </rPr>
      <t xml:space="preserve">통관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검사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관세의 </t>
    </r>
    <r>
      <rPr>
        <sz val="10"/>
        <color rgb="FF111827"/>
        <rFont val="Arial"/>
        <family val="0"/>
        <charset val="1"/>
      </rPr>
      <t xml:space="preserve">quality_status</t>
    </r>
  </si>
  <si>
    <r>
      <rPr>
        <sz val="10"/>
        <color rgb="FF111827"/>
        <rFont val="맑은 고딕"/>
        <family val="2"/>
        <charset val="129"/>
      </rPr>
      <t xml:space="preserve">통관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검사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관세의 </t>
    </r>
    <r>
      <rPr>
        <sz val="10"/>
        <color rgb="FF111827"/>
        <rFont val="Arial"/>
        <family val="0"/>
        <charset val="1"/>
      </rPr>
      <t xml:space="preserve">certification_status</t>
    </r>
  </si>
  <si>
    <r>
      <rPr>
        <sz val="10"/>
        <color rgb="FF111827"/>
        <rFont val="맑은 고딕"/>
        <family val="2"/>
        <charset val="129"/>
      </rPr>
      <t xml:space="preserve">통관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검사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관세의 </t>
    </r>
    <r>
      <rPr>
        <sz val="10"/>
        <color rgb="FF111827"/>
        <rFont val="Arial"/>
        <family val="0"/>
        <charset val="1"/>
      </rPr>
      <t xml:space="preserve">as_of_date</t>
    </r>
  </si>
  <si>
    <r>
      <rPr>
        <sz val="10"/>
        <color rgb="FF111827"/>
        <rFont val="맑은 고딕"/>
        <family val="2"/>
        <charset val="129"/>
      </rPr>
      <t xml:space="preserve">통관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검사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관세의 </t>
    </r>
    <r>
      <rPr>
        <sz val="10"/>
        <color rgb="FF111827"/>
        <rFont val="Arial"/>
        <family val="0"/>
        <charset val="1"/>
      </rPr>
      <t xml:space="preserve">lineage_id</t>
    </r>
  </si>
  <si>
    <r>
      <rPr>
        <sz val="10"/>
        <color rgb="FF111827"/>
        <rFont val="맑은 고딕"/>
        <family val="2"/>
        <charset val="129"/>
      </rPr>
      <t xml:space="preserve">통관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검사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관세의 </t>
    </r>
    <r>
      <rPr>
        <sz val="10"/>
        <color rgb="FF111827"/>
        <rFont val="Arial"/>
        <family val="0"/>
        <charset val="1"/>
      </rPr>
      <t xml:space="preserve">clearance_id</t>
    </r>
  </si>
  <si>
    <r>
      <rPr>
        <sz val="10"/>
        <color rgb="FF111827"/>
        <rFont val="맑은 고딕"/>
        <family val="2"/>
        <charset val="129"/>
      </rPr>
      <t xml:space="preserve">통관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검사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관세의 </t>
    </r>
    <r>
      <rPr>
        <sz val="10"/>
        <color rgb="FF111827"/>
        <rFont val="Arial"/>
        <family val="0"/>
        <charset val="1"/>
      </rPr>
      <t xml:space="preserve">shipment_id</t>
    </r>
  </si>
  <si>
    <r>
      <rPr>
        <sz val="10"/>
        <color rgb="FF111827"/>
        <rFont val="맑은 고딕"/>
        <family val="2"/>
        <charset val="129"/>
      </rPr>
      <t xml:space="preserve">통관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검사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관세의 </t>
    </r>
    <r>
      <rPr>
        <sz val="10"/>
        <color rgb="FF111827"/>
        <rFont val="Arial"/>
        <family val="0"/>
        <charset val="1"/>
      </rPr>
      <t xml:space="preserve">declaration_date</t>
    </r>
  </si>
  <si>
    <r>
      <rPr>
        <sz val="10"/>
        <color rgb="FF111827"/>
        <rFont val="맑은 고딕"/>
        <family val="2"/>
        <charset val="129"/>
      </rPr>
      <t xml:space="preserve">통관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검사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관세의 </t>
    </r>
    <r>
      <rPr>
        <sz val="10"/>
        <color rgb="FF111827"/>
        <rFont val="Arial"/>
        <family val="0"/>
        <charset val="1"/>
      </rPr>
      <t xml:space="preserve">inspection_status</t>
    </r>
  </si>
  <si>
    <t xml:space="preserve">number</t>
  </si>
  <si>
    <r>
      <rPr>
        <sz val="10"/>
        <color rgb="FF111827"/>
        <rFont val="맑은 고딕"/>
        <family val="2"/>
        <charset val="129"/>
      </rPr>
      <t xml:space="preserve">통관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검사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관세의 </t>
    </r>
    <r>
      <rPr>
        <sz val="10"/>
        <color rgb="FF111827"/>
        <rFont val="Arial"/>
        <family val="0"/>
        <charset val="1"/>
      </rPr>
      <t xml:space="preserve">duty_amount</t>
    </r>
  </si>
  <si>
    <r>
      <rPr>
        <sz val="10"/>
        <color rgb="FF111827"/>
        <rFont val="맑은 고딕"/>
        <family val="2"/>
        <charset val="129"/>
      </rPr>
      <t xml:space="preserve">통관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검사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관세의 </t>
    </r>
    <r>
      <rPr>
        <sz val="10"/>
        <color rgb="FF111827"/>
        <rFont val="Arial"/>
        <family val="0"/>
        <charset val="1"/>
      </rPr>
      <t xml:space="preserve">currency</t>
    </r>
  </si>
  <si>
    <r>
      <rPr>
        <sz val="10"/>
        <color rgb="FF111827"/>
        <rFont val="맑은 고딕"/>
        <family val="2"/>
        <charset val="129"/>
      </rPr>
      <t xml:space="preserve">통관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검사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관세의 </t>
    </r>
    <r>
      <rPr>
        <sz val="10"/>
        <color rgb="FF111827"/>
        <rFont val="Arial"/>
        <family val="0"/>
        <charset val="1"/>
      </rPr>
      <t xml:space="preserve">cleared_at</t>
    </r>
  </si>
  <si>
    <r>
      <rPr>
        <sz val="10"/>
        <color rgb="FF111827"/>
        <rFont val="맑은 고딕"/>
        <family val="2"/>
        <charset val="129"/>
      </rPr>
      <t xml:space="preserve">통관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검사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관세의 </t>
    </r>
    <r>
      <rPr>
        <sz val="10"/>
        <color rgb="FF111827"/>
        <rFont val="Arial"/>
        <family val="0"/>
        <charset val="1"/>
      </rPr>
      <t xml:space="preserve">status</t>
    </r>
  </si>
  <si>
    <t xml:space="preserve">integer</t>
  </si>
  <si>
    <r>
      <rPr>
        <sz val="10"/>
        <color rgb="FF111827"/>
        <rFont val="맑은 고딕"/>
        <family val="2"/>
        <charset val="129"/>
      </rPr>
      <t xml:space="preserve">통관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검사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관세의 </t>
    </r>
    <r>
      <rPr>
        <sz val="10"/>
        <color rgb="FF111827"/>
        <rFont val="Arial"/>
        <family val="0"/>
        <charset val="1"/>
      </rPr>
      <t xml:space="preserve">source_version</t>
    </r>
  </si>
  <si>
    <t xml:space="preserve">필드</t>
  </si>
  <si>
    <t xml:space="preserve">허용값</t>
  </si>
  <si>
    <t xml:space="preserve">의미</t>
  </si>
  <si>
    <r>
      <rPr>
        <sz val="10"/>
        <color rgb="FF111827"/>
        <rFont val="맑은 고딕"/>
        <family val="2"/>
        <charset val="129"/>
      </rPr>
      <t xml:space="preserve">가상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합성 데이터</t>
    </r>
    <r>
      <rPr>
        <sz val="10"/>
        <color rgb="FF111827"/>
        <rFont val="Arial"/>
        <family val="0"/>
        <charset val="1"/>
      </rPr>
      <t xml:space="preserve">. Actual </t>
    </r>
    <r>
      <rPr>
        <sz val="10"/>
        <color rgb="FF111827"/>
        <rFont val="맑은 고딕"/>
        <family val="2"/>
        <charset val="129"/>
      </rPr>
      <t xml:space="preserve">승격 금지</t>
    </r>
  </si>
  <si>
    <r>
      <rPr>
        <sz val="10"/>
        <color rgb="FF111827"/>
        <rFont val="맑은 고딕"/>
        <family val="2"/>
        <charset val="129"/>
      </rPr>
      <t xml:space="preserve">업무상 실적 형태의 값</t>
    </r>
    <r>
      <rPr>
        <sz val="10"/>
        <color rgb="FF111827"/>
        <rFont val="Arial"/>
        <family val="0"/>
        <charset val="1"/>
      </rPr>
      <t xml:space="preserve">(</t>
    </r>
    <r>
      <rPr>
        <sz val="10"/>
        <color rgb="FF111827"/>
        <rFont val="맑은 고딕"/>
        <family val="2"/>
        <charset val="129"/>
      </rPr>
      <t xml:space="preserve">샘플에서도 출처는 </t>
    </r>
    <r>
      <rPr>
        <sz val="10"/>
        <color rgb="FF111827"/>
        <rFont val="Arial"/>
        <family val="0"/>
        <charset val="1"/>
      </rPr>
      <t xml:space="preserve">SYNTHETIC)</t>
    </r>
  </si>
  <si>
    <t xml:space="preserve">PLAN</t>
  </si>
  <si>
    <t xml:space="preserve">확정 또는 작업 중인 계획</t>
  </si>
  <si>
    <t xml:space="preserve">FORECAST</t>
  </si>
  <si>
    <r>
      <rPr>
        <sz val="10"/>
        <color rgb="FF111827"/>
        <rFont val="맑은 고딕"/>
        <family val="2"/>
        <charset val="129"/>
      </rPr>
      <t xml:space="preserve">모델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사용자 가정 기반 전망</t>
    </r>
  </si>
  <si>
    <t xml:space="preserve">SCENARIO</t>
  </si>
  <si>
    <r>
      <rPr>
        <sz val="10"/>
        <color rgb="FF111827"/>
        <rFont val="Arial"/>
        <family val="0"/>
        <charset val="1"/>
      </rPr>
      <t xml:space="preserve">What-if </t>
    </r>
    <r>
      <rPr>
        <sz val="10"/>
        <color rgb="FF111827"/>
        <rFont val="맑은 고딕"/>
        <family val="2"/>
        <charset val="129"/>
      </rPr>
      <t xml:space="preserve">대안</t>
    </r>
  </si>
  <si>
    <t xml:space="preserve">REFERENCE</t>
  </si>
  <si>
    <r>
      <rPr>
        <sz val="10"/>
        <color rgb="FF111827"/>
        <rFont val="맑은 고딕"/>
        <family val="2"/>
        <charset val="129"/>
      </rPr>
      <t xml:space="preserve">마스터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공식 외부지표</t>
    </r>
  </si>
  <si>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참조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대사 통과</t>
    </r>
  </si>
  <si>
    <t xml:space="preserve">QUARANTINE</t>
  </si>
  <si>
    <t xml:space="preserve">운영 영역에 넣지 않고 사유와 함께 격리</t>
  </si>
  <si>
    <r>
      <rPr>
        <sz val="10"/>
        <color rgb="FF111827"/>
        <rFont val="맑은 고딕"/>
        <family val="2"/>
        <charset val="129"/>
      </rPr>
      <t xml:space="preserve">데모 용도 검증 완료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실제 의사결정용 아님</t>
    </r>
  </si>
  <si>
    <r>
      <rPr>
        <sz val="10"/>
        <color rgb="FF111827"/>
        <rFont val="맑은 고딕"/>
        <family val="2"/>
        <charset val="129"/>
      </rPr>
      <t xml:space="preserve">검증 </t>
    </r>
    <r>
      <rPr>
        <sz val="10"/>
        <color rgb="FF111827"/>
        <rFont val="Arial"/>
        <family val="0"/>
        <charset val="1"/>
      </rPr>
      <t xml:space="preserve">ID</t>
    </r>
  </si>
  <si>
    <t xml:space="preserve">검증 내용</t>
  </si>
  <si>
    <t xml:space="preserve">오류 시 처리</t>
  </si>
  <si>
    <t xml:space="preserve">근거</t>
  </si>
  <si>
    <t xml:space="preserve">VAL-01</t>
  </si>
  <si>
    <t xml:space="preserve">필수 공통 필드가 모두 존재</t>
  </si>
  <si>
    <t xml:space="preserve">REJECT</t>
  </si>
  <si>
    <t xml:space="preserve">데이터 계약</t>
  </si>
  <si>
    <t xml:space="preserve">VAL-02</t>
  </si>
  <si>
    <r>
      <rPr>
        <sz val="10"/>
        <color rgb="FF111827"/>
        <rFont val="Arial"/>
        <family val="0"/>
        <charset val="1"/>
      </rPr>
      <t xml:space="preserve">tenant_id·scope_node_id</t>
    </r>
    <r>
      <rPr>
        <sz val="10"/>
        <color rgb="FF111827"/>
        <rFont val="맑은 고딕"/>
        <family val="2"/>
        <charset val="129"/>
      </rPr>
      <t xml:space="preserve">가 비어 있지 않음</t>
    </r>
  </si>
  <si>
    <t xml:space="preserve">Fail-closed</t>
  </si>
  <si>
    <t xml:space="preserve">VAL-03</t>
  </si>
  <si>
    <t xml:space="preserve">업무 키가 중복되지 않음</t>
  </si>
  <si>
    <t xml:space="preserve">VAL-04</t>
  </si>
  <si>
    <t xml:space="preserve">선행 데이터의 참조 키가 존재</t>
  </si>
  <si>
    <t xml:space="preserve">VAL-05</t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</si>
  <si>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표기가 </t>
    </r>
    <r>
      <rPr>
        <sz val="10"/>
        <color rgb="FF111827"/>
        <rFont val="Arial"/>
        <family val="0"/>
        <charset val="1"/>
      </rPr>
      <t xml:space="preserve">Actual </t>
    </r>
    <r>
      <rPr>
        <sz val="10"/>
        <color rgb="FF111827"/>
        <rFont val="맑은 고딕"/>
        <family val="2"/>
        <charset val="129"/>
      </rPr>
      <t xml:space="preserve">출처로 변경되지 않음</t>
    </r>
  </si>
  <si>
    <t xml:space="preserve">분류 정책</t>
  </si>
  <si>
    <t xml:space="preserve">VAL-06</t>
  </si>
  <si>
    <r>
      <rPr>
        <sz val="10"/>
        <color rgb="FF111827"/>
        <rFont val="맑은 고딕"/>
        <family val="2"/>
        <charset val="129"/>
      </rPr>
      <t xml:space="preserve">기간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단위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통화가 코드맵과 일치</t>
    </r>
  </si>
  <si>
    <t xml:space="preserve">MDM·Crosswalk</t>
  </si>
  <si>
    <t xml:space="preserve">지표</t>
  </si>
  <si>
    <t xml:space="preserve">결과</t>
  </si>
  <si>
    <t xml:space="preserve">판정 기준</t>
  </si>
  <si>
    <t xml:space="preserve">입력 행 수</t>
  </si>
  <si>
    <r>
      <rPr>
        <sz val="10"/>
        <color rgb="FF111827"/>
        <rFont val="Arial"/>
        <family val="0"/>
        <charset val="1"/>
      </rPr>
      <t xml:space="preserve">1</t>
    </r>
    <r>
      <rPr>
        <sz val="10"/>
        <color rgb="FF111827"/>
        <rFont val="맑은 고딕"/>
        <family val="2"/>
        <charset val="129"/>
      </rPr>
      <t xml:space="preserve">건 이상이면 입력 데이터 존재</t>
    </r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</si>
  <si>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표시 행 수</t>
    </r>
  </si>
  <si>
    <t xml:space="preserve">샘플 단계에서는 입력 행 수와 동일</t>
  </si>
  <si>
    <t xml:space="preserve">분류 일치</t>
  </si>
  <si>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여야 함</t>
    </r>
  </si>
  <si>
    <t xml:space="preserve">범위 누락</t>
  </si>
  <si>
    <r>
      <rPr>
        <sz val="10"/>
        <color rgb="FF111827"/>
        <rFont val="Arial"/>
        <family val="0"/>
        <charset val="1"/>
      </rPr>
      <t xml:space="preserve">0</t>
    </r>
    <r>
      <rPr>
        <sz val="10"/>
        <color rgb="FF111827"/>
        <rFont val="맑은 고딕"/>
        <family val="2"/>
        <charset val="129"/>
      </rPr>
      <t xml:space="preserve">이어야 함</t>
    </r>
  </si>
  <si>
    <t xml:space="preserve">종합</t>
  </si>
  <si>
    <r>
      <rPr>
        <sz val="10"/>
        <color rgb="FF111827"/>
        <rFont val="Arial"/>
        <family val="0"/>
        <charset val="1"/>
      </rPr>
      <t xml:space="preserve">PASS </t>
    </r>
    <r>
      <rPr>
        <sz val="10"/>
        <color rgb="FF111827"/>
        <rFont val="맑은 고딕"/>
        <family val="2"/>
        <charset val="129"/>
      </rPr>
      <t xml:space="preserve">후 등록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</si>
</sst>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111827"/>
      <name val="Arial"/>
      <family val="0"/>
      <charset val="1"/>
    </font>
    <font>
      <sz val="10"/>
      <color rgb="FF111827"/>
      <name val="맑은 고딕"/>
      <family val="2"/>
      <charset val="129"/>
    </font>
    <font>
      <sz val="10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1B2A41"/>
        <bgColor rgb="FF111827"/>
      </patternFill>
    </fill>
    <fill>
      <patternFill patternType="solid">
        <fgColor rgb="FFF3F5F7"/>
        <bgColor rgb="FFEAF2FF"/>
      </patternFill>
    </fill>
    <fill>
      <patternFill patternType="solid">
        <fgColor rgb="FFEAF2FF"/>
        <bgColor rgb="FFF3F5F7"/>
      </patternFill>
    </fill>
    <fill>
      <patternFill patternType="solid">
        <fgColor rgb="FFFFF4CC"/>
        <bgColor rgb="FFFDECEC"/>
      </patternFill>
    </fill>
    <fill>
      <patternFill patternType="solid">
        <fgColor rgb="FFE9F6EC"/>
        <bgColor rgb="FFF3F5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2A41"/>
          <bgColor rgb="FF000000"/>
        </patternFill>
      </fill>
    </dxf>
    <dxf>
      <fill>
        <patternFill patternType="solid">
          <fgColor rgb="FFEAF2FF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ill>
        <patternFill>
          <bgColor rgb="FFFDECEC"/>
        </patternFill>
      </fill>
    </dxf>
  </dxfs>
  <colors>
    <indexedColors>
      <rgbColor rgb="FF000000"/>
      <rgbColor rgb="FFF3F5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E9F6EC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F"/>
      <rgbColor rgb="FFCCFFCC"/>
      <rgbColor rgb="FFFDEC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B2A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_LOG_04" displayName="T_LOG_04" ref="A1:S5" headerRowCount="1" totalsRowCount="0" totalsRowShown="0">
  <autoFilter ref="A1:S5"/>
  <tableColumns count="19">
    <tableColumn id="1" name="record_id"/>
    <tableColumn id="2" name="tenant_id"/>
    <tableColumn id="3" name="scope_node_id"/>
    <tableColumn id="4" name="data_class"/>
    <tableColumn id="5" name="business_data_kind"/>
    <tableColumn id="6" name="data_origin"/>
    <tableColumn id="7" name="quality_status"/>
    <tableColumn id="8" name="certification_status"/>
    <tableColumn id="9" name="as_of_date"/>
    <tableColumn id="10" name="lineage_id"/>
    <tableColumn id="11" name="clearance_id"/>
    <tableColumn id="12" name="shipment_id"/>
    <tableColumn id="13" name="declaration_date"/>
    <tableColumn id="14" name="inspection_status"/>
    <tableColumn id="15" name="duty_amount"/>
    <tableColumn id="16" name="currency"/>
    <tableColumn id="17" name="cleared_at"/>
    <tableColumn id="18" name="status"/>
    <tableColumn id="19" name="source_vers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6" min="1" style="0" width="16.51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3" t="s">
        <v>1</v>
      </c>
      <c r="B3" s="4" t="s">
        <v>2</v>
      </c>
      <c r="C3" s="4"/>
      <c r="D3" s="4"/>
      <c r="E3" s="4"/>
      <c r="F3" s="4"/>
    </row>
    <row r="4" customFormat="false" ht="15" hidden="false" customHeight="true" outlineLevel="0" collapsed="false">
      <c r="A4" s="3" t="s">
        <v>3</v>
      </c>
      <c r="B4" s="5" t="s">
        <v>4</v>
      </c>
      <c r="C4" s="5"/>
      <c r="D4" s="5"/>
      <c r="E4" s="5"/>
      <c r="F4" s="5"/>
    </row>
    <row r="5" customFormat="false" ht="15" hidden="false" customHeight="true" outlineLevel="0" collapsed="false">
      <c r="A5" s="3" t="s">
        <v>5</v>
      </c>
      <c r="B5" s="5" t="s">
        <v>6</v>
      </c>
      <c r="C5" s="5"/>
      <c r="D5" s="5"/>
      <c r="E5" s="5"/>
      <c r="F5" s="5"/>
    </row>
    <row r="6" customFormat="false" ht="28.55" hidden="false" customHeight="true" outlineLevel="0" collapsed="false">
      <c r="A6" s="3" t="s">
        <v>7</v>
      </c>
      <c r="B6" s="4" t="s">
        <v>8</v>
      </c>
      <c r="C6" s="4"/>
      <c r="D6" s="4"/>
      <c r="E6" s="4"/>
      <c r="F6" s="4"/>
    </row>
    <row r="7" customFormat="false" ht="15" hidden="false" customHeight="true" outlineLevel="0" collapsed="false">
      <c r="A7" s="3" t="s">
        <v>9</v>
      </c>
      <c r="B7" s="4" t="s">
        <v>10</v>
      </c>
      <c r="C7" s="4"/>
      <c r="D7" s="4"/>
      <c r="E7" s="4"/>
      <c r="F7" s="4"/>
    </row>
    <row r="8" customFormat="false" ht="15" hidden="false" customHeight="true" outlineLevel="0" collapsed="false">
      <c r="A8" s="3" t="s">
        <v>11</v>
      </c>
      <c r="B8" s="4" t="s">
        <v>12</v>
      </c>
      <c r="C8" s="4"/>
      <c r="D8" s="4"/>
      <c r="E8" s="4"/>
      <c r="F8" s="4"/>
    </row>
    <row r="9" customFormat="false" ht="15" hidden="false" customHeight="true" outlineLevel="0" collapsed="false">
      <c r="A9" s="3" t="s">
        <v>13</v>
      </c>
      <c r="B9" s="4" t="s">
        <v>14</v>
      </c>
      <c r="C9" s="4"/>
      <c r="D9" s="4"/>
      <c r="E9" s="4"/>
      <c r="F9" s="4"/>
    </row>
    <row r="10" customFormat="false" ht="28.55" hidden="false" customHeight="true" outlineLevel="0" collapsed="false">
      <c r="A10" s="3" t="s">
        <v>15</v>
      </c>
      <c r="B10" s="4" t="s">
        <v>16</v>
      </c>
      <c r="C10" s="4"/>
      <c r="D10" s="4"/>
      <c r="E10" s="4"/>
      <c r="F10" s="4"/>
    </row>
    <row r="11" customFormat="false" ht="15" hidden="false" customHeight="true" outlineLevel="0" collapsed="false">
      <c r="A11" s="3" t="s">
        <v>17</v>
      </c>
      <c r="B11" s="5" t="s">
        <v>18</v>
      </c>
      <c r="C11" s="5"/>
      <c r="D11" s="5"/>
      <c r="E11" s="5"/>
      <c r="F11" s="5"/>
    </row>
  </sheetData>
  <mergeCells count="10">
    <mergeCell ref="A1:F1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9.27"/>
    <col collapsed="false" customWidth="true" hidden="false" outlineLevel="0" max="2" min="2" style="0" width="24.77"/>
    <col collapsed="false" customWidth="true" hidden="false" outlineLevel="0" max="3" min="3" style="0" width="20.18"/>
    <col collapsed="false" customWidth="true" hidden="false" outlineLevel="0" max="4" min="4" style="0" width="11.01"/>
    <col collapsed="false" customWidth="true" hidden="false" outlineLevel="0" max="5" min="5" style="0" width="18.35"/>
    <col collapsed="false" customWidth="true" hidden="false" outlineLevel="0" max="6" min="6" style="0" width="11.92"/>
    <col collapsed="false" customWidth="true" hidden="false" outlineLevel="0" max="7" min="7" style="0" width="14.68"/>
    <col collapsed="false" customWidth="true" hidden="false" outlineLevel="0" max="8" min="8" style="0" width="20.18"/>
    <col collapsed="false" customWidth="true" hidden="false" outlineLevel="0" max="9" min="9" style="0" width="11.01"/>
    <col collapsed="false" customWidth="true" hidden="false" outlineLevel="0" max="10" min="10" style="0" width="16.51"/>
    <col collapsed="false" customWidth="true" hidden="false" outlineLevel="0" max="11" min="11" style="0" width="13.76"/>
    <col collapsed="false" customWidth="true" hidden="false" outlineLevel="0" max="12" min="12" style="0" width="11.92"/>
    <col collapsed="false" customWidth="true" hidden="false" outlineLevel="0" max="13" min="13" style="0" width="16.51"/>
    <col collapsed="false" customWidth="true" hidden="false" outlineLevel="0" max="14" min="14" style="0" width="17.43"/>
    <col collapsed="false" customWidth="true" hidden="false" outlineLevel="0" max="15" min="15" style="0" width="11.92"/>
    <col collapsed="false" customWidth="true" hidden="false" outlineLevel="0" max="18" min="16" style="0" width="11.01"/>
    <col collapsed="false" customWidth="true" hidden="false" outlineLevel="0" max="19" min="19" style="0" width="14.68"/>
  </cols>
  <sheetData>
    <row r="1" customFormat="false" ht="15" hidden="false" customHeight="false" outlineLevel="0" collapsed="false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12</v>
      </c>
      <c r="L1" s="6" t="s">
        <v>29</v>
      </c>
      <c r="M1" s="6" t="s">
        <v>30</v>
      </c>
      <c r="N1" s="6" t="s">
        <v>31</v>
      </c>
      <c r="O1" s="6" t="s">
        <v>32</v>
      </c>
      <c r="P1" s="6" t="s">
        <v>33</v>
      </c>
      <c r="Q1" s="6" t="s">
        <v>34</v>
      </c>
      <c r="R1" s="6" t="s">
        <v>35</v>
      </c>
      <c r="S1" s="6" t="s">
        <v>36</v>
      </c>
    </row>
    <row r="2" customFormat="false" ht="15" hidden="false" customHeight="false" outlineLevel="0" collapsed="false">
      <c r="A2" s="7" t="s">
        <v>37</v>
      </c>
      <c r="B2" s="7" t="s">
        <v>38</v>
      </c>
      <c r="C2" s="7" t="s">
        <v>39</v>
      </c>
      <c r="D2" s="7" t="s">
        <v>40</v>
      </c>
      <c r="E2" s="7" t="s">
        <v>41</v>
      </c>
      <c r="F2" s="7" t="s">
        <v>40</v>
      </c>
      <c r="G2" s="7" t="s">
        <v>42</v>
      </c>
      <c r="H2" s="7" t="s">
        <v>43</v>
      </c>
      <c r="I2" s="7" t="s">
        <v>44</v>
      </c>
      <c r="J2" s="7" t="s">
        <v>45</v>
      </c>
      <c r="K2" s="7" t="s">
        <v>46</v>
      </c>
      <c r="L2" s="7" t="s">
        <v>47</v>
      </c>
      <c r="M2" s="7" t="s">
        <v>48</v>
      </c>
      <c r="N2" s="7" t="s">
        <v>49</v>
      </c>
      <c r="O2" s="7" t="s">
        <v>50</v>
      </c>
      <c r="P2" s="7" t="s">
        <v>51</v>
      </c>
      <c r="Q2" s="7" t="s">
        <v>52</v>
      </c>
      <c r="R2" s="7" t="s">
        <v>49</v>
      </c>
      <c r="S2" s="7" t="s">
        <v>53</v>
      </c>
    </row>
    <row r="3" customFormat="false" ht="15" hidden="false" customHeight="false" outlineLevel="0" collapsed="false">
      <c r="A3" s="7" t="s">
        <v>54</v>
      </c>
      <c r="B3" s="7" t="s">
        <v>38</v>
      </c>
      <c r="C3" s="7" t="s">
        <v>39</v>
      </c>
      <c r="D3" s="7" t="s">
        <v>40</v>
      </c>
      <c r="E3" s="7" t="s">
        <v>41</v>
      </c>
      <c r="F3" s="7" t="s">
        <v>40</v>
      </c>
      <c r="G3" s="7" t="s">
        <v>42</v>
      </c>
      <c r="H3" s="7" t="s">
        <v>43</v>
      </c>
      <c r="I3" s="7" t="s">
        <v>44</v>
      </c>
      <c r="J3" s="7" t="s">
        <v>55</v>
      </c>
      <c r="K3" s="7" t="s">
        <v>56</v>
      </c>
      <c r="L3" s="7" t="s">
        <v>57</v>
      </c>
      <c r="M3" s="7" t="s">
        <v>58</v>
      </c>
      <c r="N3" s="7" t="s">
        <v>49</v>
      </c>
      <c r="O3" s="7" t="s">
        <v>50</v>
      </c>
      <c r="P3" s="7" t="s">
        <v>51</v>
      </c>
      <c r="Q3" s="7" t="s">
        <v>59</v>
      </c>
      <c r="R3" s="7" t="s">
        <v>49</v>
      </c>
      <c r="S3" s="7" t="s">
        <v>53</v>
      </c>
    </row>
    <row r="4" customFormat="false" ht="15" hidden="false" customHeight="false" outlineLevel="0" collapsed="false">
      <c r="A4" s="7" t="s">
        <v>60</v>
      </c>
      <c r="B4" s="7" t="s">
        <v>38</v>
      </c>
      <c r="C4" s="7" t="s">
        <v>39</v>
      </c>
      <c r="D4" s="7" t="s">
        <v>40</v>
      </c>
      <c r="E4" s="7" t="s">
        <v>41</v>
      </c>
      <c r="F4" s="7" t="s">
        <v>40</v>
      </c>
      <c r="G4" s="7" t="s">
        <v>42</v>
      </c>
      <c r="H4" s="7" t="s">
        <v>43</v>
      </c>
      <c r="I4" s="7" t="s">
        <v>44</v>
      </c>
      <c r="J4" s="7" t="s">
        <v>61</v>
      </c>
      <c r="K4" s="7" t="s">
        <v>62</v>
      </c>
      <c r="L4" s="7" t="s">
        <v>63</v>
      </c>
      <c r="M4" s="7" t="s">
        <v>64</v>
      </c>
      <c r="N4" s="7" t="s">
        <v>49</v>
      </c>
      <c r="O4" s="7" t="s">
        <v>50</v>
      </c>
      <c r="P4" s="7" t="s">
        <v>51</v>
      </c>
      <c r="Q4" s="7" t="s">
        <v>65</v>
      </c>
      <c r="R4" s="7" t="s">
        <v>49</v>
      </c>
      <c r="S4" s="7" t="s">
        <v>53</v>
      </c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</sheetData>
  <autoFilter ref="A1:S5"/>
  <dataValidations count="4">
    <dataValidation allowBlank="false" errorStyle="stop" operator="between" showDropDown="false" showErrorMessage="false" showInputMessage="false" sqref="D2:D1005" type="list">
      <formula1>"ACTUAL,PLAN,FORECAST,SCENARIO,REFERENCE,SYNTHETIC"</formula1>
      <formula2>0</formula2>
    </dataValidation>
    <dataValidation allowBlank="false" errorStyle="stop" operator="between" showDropDown="false" showErrorMessage="false" showInputMessage="false" sqref="E2:E1005" type="list">
      <formula1>"ACTUAL,PLAN,FORECAST,SCENARIO,REFERENCE"</formula1>
      <formula2>0</formula2>
    </dataValidation>
    <dataValidation allowBlank="false" errorStyle="stop" operator="between" showDropDown="false" showErrorMessage="false" showInputMessage="false" sqref="G2:G1005" type="list">
      <formula1>"PASS,WARNING,QUARANTINE,REJECTED"</formula1>
      <formula2>0</formula2>
    </dataValidation>
    <dataValidation allowBlank="false" errorStyle="stop" operator="between" showDropDown="false" showErrorMessage="false" showInputMessage="false" sqref="H2:H1005" type="list">
      <formula1>"RAW,VALIDATED,CERTIFIED,CERTIFIED_FOR_DEMO"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12.84"/>
    <col collapsed="false" customWidth="true" hidden="false" outlineLevel="0" max="3" min="3" style="0" width="9.17"/>
    <col collapsed="false" customWidth="true" hidden="false" outlineLevel="0" max="4" min="4" style="0" width="11.01"/>
    <col collapsed="false" customWidth="true" hidden="false" outlineLevel="0" max="5" min="5" style="0" width="49.54"/>
  </cols>
  <sheetData>
    <row r="1" customFormat="false" ht="15" hidden="false" customHeight="false" outlineLevel="0" collapsed="false">
      <c r="A1" s="9" t="s">
        <v>66</v>
      </c>
      <c r="B1" s="9" t="s">
        <v>67</v>
      </c>
      <c r="C1" s="9" t="s">
        <v>68</v>
      </c>
      <c r="D1" s="9" t="s">
        <v>11</v>
      </c>
      <c r="E1" s="9" t="s">
        <v>69</v>
      </c>
    </row>
    <row r="2" customFormat="false" ht="15" hidden="false" customHeight="false" outlineLevel="0" collapsed="false">
      <c r="A2" s="10" t="s">
        <v>19</v>
      </c>
      <c r="B2" s="10" t="s">
        <v>70</v>
      </c>
      <c r="C2" s="10" t="s">
        <v>71</v>
      </c>
      <c r="D2" s="10" t="s">
        <v>72</v>
      </c>
      <c r="E2" s="2" t="s">
        <v>73</v>
      </c>
    </row>
    <row r="3" customFormat="false" ht="15" hidden="false" customHeight="false" outlineLevel="0" collapsed="false">
      <c r="A3" s="10" t="s">
        <v>20</v>
      </c>
      <c r="B3" s="10" t="s">
        <v>70</v>
      </c>
      <c r="C3" s="10" t="s">
        <v>71</v>
      </c>
      <c r="D3" s="10" t="s">
        <v>72</v>
      </c>
      <c r="E3" s="2" t="s">
        <v>74</v>
      </c>
    </row>
    <row r="4" customFormat="false" ht="15" hidden="false" customHeight="false" outlineLevel="0" collapsed="false">
      <c r="A4" s="10" t="s">
        <v>21</v>
      </c>
      <c r="B4" s="10" t="s">
        <v>70</v>
      </c>
      <c r="C4" s="10" t="s">
        <v>71</v>
      </c>
      <c r="D4" s="10" t="s">
        <v>72</v>
      </c>
      <c r="E4" s="2" t="s">
        <v>75</v>
      </c>
    </row>
    <row r="5" customFormat="false" ht="15" hidden="false" customHeight="false" outlineLevel="0" collapsed="false">
      <c r="A5" s="10" t="s">
        <v>22</v>
      </c>
      <c r="B5" s="10" t="s">
        <v>70</v>
      </c>
      <c r="C5" s="10" t="s">
        <v>71</v>
      </c>
      <c r="D5" s="10" t="s">
        <v>72</v>
      </c>
      <c r="E5" s="2" t="s">
        <v>76</v>
      </c>
    </row>
    <row r="6" customFormat="false" ht="15" hidden="false" customHeight="false" outlineLevel="0" collapsed="false">
      <c r="A6" s="10" t="s">
        <v>23</v>
      </c>
      <c r="B6" s="10" t="s">
        <v>70</v>
      </c>
      <c r="C6" s="10" t="s">
        <v>71</v>
      </c>
      <c r="D6" s="10" t="s">
        <v>72</v>
      </c>
      <c r="E6" s="2" t="s">
        <v>77</v>
      </c>
    </row>
    <row r="7" customFormat="false" ht="15" hidden="false" customHeight="false" outlineLevel="0" collapsed="false">
      <c r="A7" s="10" t="s">
        <v>24</v>
      </c>
      <c r="B7" s="10" t="s">
        <v>70</v>
      </c>
      <c r="C7" s="10" t="s">
        <v>71</v>
      </c>
      <c r="D7" s="10" t="s">
        <v>72</v>
      </c>
      <c r="E7" s="2" t="s">
        <v>78</v>
      </c>
    </row>
    <row r="8" customFormat="false" ht="15" hidden="false" customHeight="false" outlineLevel="0" collapsed="false">
      <c r="A8" s="10" t="s">
        <v>25</v>
      </c>
      <c r="B8" s="10" t="s">
        <v>70</v>
      </c>
      <c r="C8" s="10" t="s">
        <v>71</v>
      </c>
      <c r="D8" s="10" t="s">
        <v>72</v>
      </c>
      <c r="E8" s="2" t="s">
        <v>79</v>
      </c>
    </row>
    <row r="9" customFormat="false" ht="15" hidden="false" customHeight="false" outlineLevel="0" collapsed="false">
      <c r="A9" s="10" t="s">
        <v>26</v>
      </c>
      <c r="B9" s="10" t="s">
        <v>70</v>
      </c>
      <c r="C9" s="10" t="s">
        <v>71</v>
      </c>
      <c r="D9" s="10" t="s">
        <v>72</v>
      </c>
      <c r="E9" s="2" t="s">
        <v>80</v>
      </c>
    </row>
    <row r="10" customFormat="false" ht="15" hidden="false" customHeight="false" outlineLevel="0" collapsed="false">
      <c r="A10" s="10" t="s">
        <v>27</v>
      </c>
      <c r="B10" s="10" t="s">
        <v>70</v>
      </c>
      <c r="C10" s="10" t="s">
        <v>71</v>
      </c>
      <c r="D10" s="10" t="s">
        <v>72</v>
      </c>
      <c r="E10" s="2" t="s">
        <v>81</v>
      </c>
    </row>
    <row r="11" customFormat="false" ht="15" hidden="false" customHeight="false" outlineLevel="0" collapsed="false">
      <c r="A11" s="10" t="s">
        <v>28</v>
      </c>
      <c r="B11" s="10" t="s">
        <v>70</v>
      </c>
      <c r="C11" s="10" t="s">
        <v>71</v>
      </c>
      <c r="D11" s="10" t="s">
        <v>72</v>
      </c>
      <c r="E11" s="2" t="s">
        <v>82</v>
      </c>
    </row>
    <row r="12" customFormat="false" ht="15" hidden="false" customHeight="false" outlineLevel="0" collapsed="false">
      <c r="A12" s="10" t="s">
        <v>12</v>
      </c>
      <c r="B12" s="10" t="s">
        <v>70</v>
      </c>
      <c r="C12" s="10" t="s">
        <v>71</v>
      </c>
      <c r="D12" s="10" t="s">
        <v>71</v>
      </c>
      <c r="E12" s="2" t="s">
        <v>83</v>
      </c>
    </row>
    <row r="13" customFormat="false" ht="15" hidden="false" customHeight="false" outlineLevel="0" collapsed="false">
      <c r="A13" s="10" t="s">
        <v>29</v>
      </c>
      <c r="B13" s="10" t="s">
        <v>70</v>
      </c>
      <c r="C13" s="10" t="s">
        <v>72</v>
      </c>
      <c r="D13" s="10" t="s">
        <v>72</v>
      </c>
      <c r="E13" s="2" t="s">
        <v>84</v>
      </c>
    </row>
    <row r="14" customFormat="false" ht="15" hidden="false" customHeight="false" outlineLevel="0" collapsed="false">
      <c r="A14" s="10" t="s">
        <v>30</v>
      </c>
      <c r="B14" s="10" t="s">
        <v>70</v>
      </c>
      <c r="C14" s="10" t="s">
        <v>72</v>
      </c>
      <c r="D14" s="10" t="s">
        <v>72</v>
      </c>
      <c r="E14" s="2" t="s">
        <v>85</v>
      </c>
    </row>
    <row r="15" customFormat="false" ht="15" hidden="false" customHeight="false" outlineLevel="0" collapsed="false">
      <c r="A15" s="10" t="s">
        <v>31</v>
      </c>
      <c r="B15" s="10" t="s">
        <v>70</v>
      </c>
      <c r="C15" s="10" t="s">
        <v>72</v>
      </c>
      <c r="D15" s="10" t="s">
        <v>72</v>
      </c>
      <c r="E15" s="2" t="s">
        <v>86</v>
      </c>
    </row>
    <row r="16" customFormat="false" ht="15" hidden="false" customHeight="false" outlineLevel="0" collapsed="false">
      <c r="A16" s="10" t="s">
        <v>32</v>
      </c>
      <c r="B16" s="10" t="s">
        <v>87</v>
      </c>
      <c r="C16" s="10" t="s">
        <v>72</v>
      </c>
      <c r="D16" s="10" t="s">
        <v>72</v>
      </c>
      <c r="E16" s="2" t="s">
        <v>88</v>
      </c>
    </row>
    <row r="17" customFormat="false" ht="15" hidden="false" customHeight="false" outlineLevel="0" collapsed="false">
      <c r="A17" s="10" t="s">
        <v>33</v>
      </c>
      <c r="B17" s="10" t="s">
        <v>70</v>
      </c>
      <c r="C17" s="10" t="s">
        <v>72</v>
      </c>
      <c r="D17" s="10" t="s">
        <v>72</v>
      </c>
      <c r="E17" s="2" t="s">
        <v>89</v>
      </c>
    </row>
    <row r="18" customFormat="false" ht="15" hidden="false" customHeight="false" outlineLevel="0" collapsed="false">
      <c r="A18" s="10" t="s">
        <v>34</v>
      </c>
      <c r="B18" s="10" t="s">
        <v>70</v>
      </c>
      <c r="C18" s="10" t="s">
        <v>72</v>
      </c>
      <c r="D18" s="10" t="s">
        <v>72</v>
      </c>
      <c r="E18" s="2" t="s">
        <v>90</v>
      </c>
    </row>
    <row r="19" customFormat="false" ht="15" hidden="false" customHeight="false" outlineLevel="0" collapsed="false">
      <c r="A19" s="10" t="s">
        <v>35</v>
      </c>
      <c r="B19" s="10" t="s">
        <v>70</v>
      </c>
      <c r="C19" s="10" t="s">
        <v>72</v>
      </c>
      <c r="D19" s="10" t="s">
        <v>72</v>
      </c>
      <c r="E19" s="2" t="s">
        <v>91</v>
      </c>
    </row>
    <row r="20" customFormat="false" ht="15" hidden="false" customHeight="false" outlineLevel="0" collapsed="false">
      <c r="A20" s="10" t="s">
        <v>36</v>
      </c>
      <c r="B20" s="10" t="s">
        <v>92</v>
      </c>
      <c r="C20" s="10" t="s">
        <v>72</v>
      </c>
      <c r="D20" s="10" t="s">
        <v>72</v>
      </c>
      <c r="E20" s="2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2" min="1" style="0" width="25.69"/>
    <col collapsed="false" customWidth="true" hidden="false" outlineLevel="0" max="3" min="3" style="0" width="56.88"/>
  </cols>
  <sheetData>
    <row r="1" customFormat="false" ht="15" hidden="false" customHeight="false" outlineLevel="0" collapsed="false">
      <c r="A1" s="9" t="s">
        <v>94</v>
      </c>
      <c r="B1" s="9" t="s">
        <v>95</v>
      </c>
      <c r="C1" s="9" t="s">
        <v>96</v>
      </c>
    </row>
    <row r="2" customFormat="false" ht="15" hidden="false" customHeight="false" outlineLevel="0" collapsed="false">
      <c r="A2" s="10" t="s">
        <v>22</v>
      </c>
      <c r="B2" s="10" t="s">
        <v>40</v>
      </c>
      <c r="C2" s="2" t="s">
        <v>97</v>
      </c>
    </row>
    <row r="3" customFormat="false" ht="15" hidden="false" customHeight="false" outlineLevel="0" collapsed="false">
      <c r="A3" s="10" t="s">
        <v>23</v>
      </c>
      <c r="B3" s="10" t="s">
        <v>41</v>
      </c>
      <c r="C3" s="2" t="s">
        <v>98</v>
      </c>
    </row>
    <row r="4" customFormat="false" ht="15" hidden="false" customHeight="false" outlineLevel="0" collapsed="false">
      <c r="A4" s="10" t="s">
        <v>23</v>
      </c>
      <c r="B4" s="10" t="s">
        <v>99</v>
      </c>
      <c r="C4" s="2" t="s">
        <v>100</v>
      </c>
    </row>
    <row r="5" customFormat="false" ht="15" hidden="false" customHeight="false" outlineLevel="0" collapsed="false">
      <c r="A5" s="10" t="s">
        <v>23</v>
      </c>
      <c r="B5" s="10" t="s">
        <v>101</v>
      </c>
      <c r="C5" s="2" t="s">
        <v>102</v>
      </c>
    </row>
    <row r="6" customFormat="false" ht="15" hidden="false" customHeight="false" outlineLevel="0" collapsed="false">
      <c r="A6" s="10" t="s">
        <v>23</v>
      </c>
      <c r="B6" s="10" t="s">
        <v>103</v>
      </c>
      <c r="C6" s="10" t="s">
        <v>104</v>
      </c>
    </row>
    <row r="7" customFormat="false" ht="15" hidden="false" customHeight="false" outlineLevel="0" collapsed="false">
      <c r="A7" s="10" t="s">
        <v>23</v>
      </c>
      <c r="B7" s="10" t="s">
        <v>105</v>
      </c>
      <c r="C7" s="2" t="s">
        <v>106</v>
      </c>
    </row>
    <row r="8" customFormat="false" ht="15" hidden="false" customHeight="false" outlineLevel="0" collapsed="false">
      <c r="A8" s="10" t="s">
        <v>25</v>
      </c>
      <c r="B8" s="10" t="s">
        <v>42</v>
      </c>
      <c r="C8" s="2" t="s">
        <v>107</v>
      </c>
    </row>
    <row r="9" customFormat="false" ht="15" hidden="false" customHeight="false" outlineLevel="0" collapsed="false">
      <c r="A9" s="10" t="s">
        <v>25</v>
      </c>
      <c r="B9" s="10" t="s">
        <v>108</v>
      </c>
      <c r="C9" s="2" t="s">
        <v>109</v>
      </c>
    </row>
    <row r="10" customFormat="false" ht="15" hidden="false" customHeight="false" outlineLevel="0" collapsed="false">
      <c r="A10" s="10" t="s">
        <v>26</v>
      </c>
      <c r="B10" s="10" t="s">
        <v>43</v>
      </c>
      <c r="C10" s="2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2.84"/>
    <col collapsed="false" customWidth="true" hidden="false" outlineLevel="0" max="2" min="2" style="0" width="49.54"/>
    <col collapsed="false" customWidth="true" hidden="false" outlineLevel="0" max="3" min="3" style="0" width="16.51"/>
    <col collapsed="false" customWidth="true" hidden="false" outlineLevel="0" max="4" min="4" style="0" width="36.7"/>
  </cols>
  <sheetData>
    <row r="1" customFormat="false" ht="15" hidden="false" customHeight="false" outlineLevel="0" collapsed="false">
      <c r="A1" s="9" t="s">
        <v>111</v>
      </c>
      <c r="B1" s="9" t="s">
        <v>112</v>
      </c>
      <c r="C1" s="9" t="s">
        <v>113</v>
      </c>
      <c r="D1" s="9" t="s">
        <v>114</v>
      </c>
    </row>
    <row r="2" customFormat="false" ht="15" hidden="false" customHeight="false" outlineLevel="0" collapsed="false">
      <c r="A2" s="10" t="s">
        <v>115</v>
      </c>
      <c r="B2" s="2" t="s">
        <v>116</v>
      </c>
      <c r="C2" s="10" t="s">
        <v>117</v>
      </c>
      <c r="D2" s="2" t="s">
        <v>118</v>
      </c>
    </row>
    <row r="3" customFormat="false" ht="15" hidden="false" customHeight="false" outlineLevel="0" collapsed="false">
      <c r="A3" s="10" t="s">
        <v>119</v>
      </c>
      <c r="B3" s="10" t="s">
        <v>120</v>
      </c>
      <c r="C3" s="10" t="s">
        <v>117</v>
      </c>
      <c r="D3" s="10" t="s">
        <v>121</v>
      </c>
    </row>
    <row r="4" customFormat="false" ht="15" hidden="false" customHeight="false" outlineLevel="0" collapsed="false">
      <c r="A4" s="10" t="s">
        <v>122</v>
      </c>
      <c r="B4" s="2" t="s">
        <v>123</v>
      </c>
      <c r="C4" s="10" t="s">
        <v>108</v>
      </c>
      <c r="D4" s="10" t="s">
        <v>12</v>
      </c>
    </row>
    <row r="5" customFormat="false" ht="15" hidden="false" customHeight="false" outlineLevel="0" collapsed="false">
      <c r="A5" s="10" t="s">
        <v>124</v>
      </c>
      <c r="B5" s="2" t="s">
        <v>125</v>
      </c>
      <c r="C5" s="10" t="s">
        <v>108</v>
      </c>
      <c r="D5" s="10" t="s">
        <v>14</v>
      </c>
    </row>
    <row r="6" customFormat="false" ht="15" hidden="false" customHeight="false" outlineLevel="0" collapsed="false">
      <c r="A6" s="10" t="s">
        <v>126</v>
      </c>
      <c r="B6" s="10" t="s">
        <v>127</v>
      </c>
      <c r="C6" s="10" t="s">
        <v>117</v>
      </c>
      <c r="D6" s="2" t="s">
        <v>128</v>
      </c>
    </row>
    <row r="7" customFormat="false" ht="15" hidden="false" customHeight="false" outlineLevel="0" collapsed="false">
      <c r="A7" s="10" t="s">
        <v>129</v>
      </c>
      <c r="B7" s="2" t="s">
        <v>130</v>
      </c>
      <c r="C7" s="10" t="s">
        <v>108</v>
      </c>
      <c r="D7" s="10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20.18"/>
    <col collapsed="false" customWidth="true" hidden="false" outlineLevel="0" max="3" min="3" style="0" width="45.87"/>
  </cols>
  <sheetData>
    <row r="1" customFormat="false" ht="15" hidden="false" customHeight="false" outlineLevel="0" collapsed="false">
      <c r="A1" s="9" t="s">
        <v>132</v>
      </c>
      <c r="B1" s="9" t="s">
        <v>133</v>
      </c>
      <c r="C1" s="9" t="s">
        <v>134</v>
      </c>
    </row>
    <row r="2" customFormat="false" ht="15" hidden="false" customHeight="false" outlineLevel="0" collapsed="false">
      <c r="A2" s="2" t="s">
        <v>135</v>
      </c>
      <c r="B2" s="11" t="n">
        <f aca="false">COUNTA(DATA!A:A)-1</f>
        <v>3</v>
      </c>
      <c r="C2" s="10" t="s">
        <v>136</v>
      </c>
    </row>
    <row r="3" customFormat="false" ht="15" hidden="false" customHeight="false" outlineLevel="0" collapsed="false">
      <c r="A3" s="10" t="s">
        <v>137</v>
      </c>
      <c r="B3" s="11" t="n">
        <f aca="false">COUNTIF(DATA!D:D,"SYNTHETIC")</f>
        <v>3</v>
      </c>
      <c r="C3" s="2" t="s">
        <v>138</v>
      </c>
    </row>
    <row r="4" customFormat="false" ht="15" hidden="false" customHeight="false" outlineLevel="0" collapsed="false">
      <c r="A4" s="2" t="s">
        <v>139</v>
      </c>
      <c r="B4" s="11" t="str">
        <f aca="false">IF(B2=B3,"PASS","REVIEW")</f>
        <v>PASS</v>
      </c>
      <c r="C4" s="10" t="s">
        <v>140</v>
      </c>
    </row>
    <row r="5" customFormat="false" ht="15" hidden="false" customHeight="false" outlineLevel="0" collapsed="false">
      <c r="A5" s="2" t="s">
        <v>141</v>
      </c>
      <c r="B5" s="11" t="n">
        <f aca="false">COUNTBLANK(DATA!C2:INDEX(DATA!C:C,B2+1))</f>
        <v>0</v>
      </c>
      <c r="C5" s="10" t="s">
        <v>142</v>
      </c>
    </row>
    <row r="6" customFormat="false" ht="15" hidden="false" customHeight="false" outlineLevel="0" collapsed="false">
      <c r="A6" s="2" t="s">
        <v>143</v>
      </c>
      <c r="B6" s="11" t="str">
        <f aca="false">IF(AND(B4="PASS",B5=0),"PASS","REVIEW")</f>
        <v>PASS</v>
      </c>
      <c r="C6" s="10" t="s">
        <v>144</v>
      </c>
    </row>
  </sheetData>
  <conditionalFormatting sqref="B4:B6">
    <cfRule type="cellIs" priority="2" operator="equal" aboveAverage="0" equalAverage="0" bottom="0" percent="0" rank="0" text="" dxfId="4">
      <formula>"REVIEW"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2026-08-11T10:50:28Z</dcterms:created>
  <dc:creator>openpyxl</dc:creator>
  <dc:description/>
  <dc:language>ko-KR</dc:language>
  <cp:lastModifiedBy/>
  <dcterms:modified xsi:type="dcterms:W3CDTF">2026-08-11T10:50:28Z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